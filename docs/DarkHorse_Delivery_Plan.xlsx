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Summary" state="visible" r:id="rId4"/>
    <sheet sheetId="2" name="Milestones" state="visible" r:id="rId5"/>
    <sheet sheetId="3" name="Features" state="visible" r:id="rId6"/>
    <sheet sheetId="5" name="Weekly Timeline" state="visible" r:id="rId7"/>
    <sheet sheetId="4" name="Release Plan" state="visible" r:id="rId8"/>
    <sheet sheetId="6" name="Integration" state="visible" r:id="rId9"/>
    <sheet sheetId="7" name="Azure Deployment" state="visible" r:id="rId10"/>
    <sheet sheetId="8" name="Effort by Workstream" state="visible" r:id="rId11"/>
    <sheet sheetId="9" name="Risks &amp; Questions" state="visible" r:id="rId12"/>
  </sheets>
  <calcPr calcId="171027"/>
</workbook>
</file>

<file path=xl/sharedStrings.xml><?xml version="1.0" encoding="utf-8"?>
<sst xmlns="http://schemas.openxmlformats.org/spreadsheetml/2006/main" count="1584" uniqueCount="528">
  <si>
    <t>DarkHorse - Delivery Plan (Azure, Continuum + ChickletFlow integration)</t>
  </si>
  <si>
    <t>Plan start (Monday, Week 1)</t>
  </si>
  <si>
    <t>Edit this date and every date in the workbook shifts.</t>
  </si>
  <si>
    <t>Duration</t>
  </si>
  <si>
    <t>26 weeks</t>
  </si>
  <si>
    <t>Baseline</t>
  </si>
  <si>
    <t>Extension v0.7.38; CPI-6 sprints 1-6 shipped</t>
  </si>
  <si>
    <t>Architecture</t>
  </si>
  <si>
    <t>docs/DarkHorse_09_Azure_Deployment.md</t>
  </si>
  <si>
    <t>Releases</t>
  </si>
  <si>
    <t>Release</t>
  </si>
  <si>
    <t>Go-live (Fri)</t>
  </si>
  <si>
    <t>Scope</t>
  </si>
  <si>
    <t>R0</t>
  </si>
  <si>
    <t>R0 - Azure Foundations (dev env live)</t>
  </si>
  <si>
    <t>MVP</t>
  </si>
  <si>
    <t>MVP - DarkHorse on Azure, Continuum read integration, internal pilot</t>
  </si>
  <si>
    <t>R2</t>
  </si>
  <si>
    <t>R2 - Memory, Clean Core loop, full Continuum + ChickletFlow integration</t>
  </si>
  <si>
    <t>R3</t>
  </si>
  <si>
    <t>R3 - Marketplace, multi-model, private networking, dashboards</t>
  </si>
  <si>
    <t>GA</t>
  </si>
  <si>
    <t>GA - Production hardening, client-tenant template, security sign-off</t>
  </si>
  <si>
    <t>Sheets</t>
  </si>
  <si>
    <t>Milestones</t>
  </si>
  <si>
    <t>Key dates and exit criteria</t>
  </si>
  <si>
    <t>Features</t>
  </si>
  <si>
    <t>All features, release, status, weeks, effort, dependencies (edit start/end here)</t>
  </si>
  <si>
    <t>Weekly Timeline</t>
  </si>
  <si>
    <t>Gantt driven by Features start/end weeks</t>
  </si>
  <si>
    <t>Release Plan</t>
  </si>
  <si>
    <t>What goes live in each release and go/no-go</t>
  </si>
  <si>
    <t>Integration</t>
  </si>
  <si>
    <t>Changes needed in Continuum, ChickletFlow and DarkHorse</t>
  </si>
  <si>
    <t>Azure Deployment</t>
  </si>
  <si>
    <t>Azure rollout phases and environments</t>
  </si>
  <si>
    <t>Effort by Workstream</t>
  </si>
  <si>
    <t>Person-weeks per workstream and release</t>
  </si>
  <si>
    <t>Risks &amp; Questions</t>
  </si>
  <si>
    <t>Risks and open decisions</t>
  </si>
  <si>
    <t>Note</t>
  </si>
  <si>
    <t>Integration changes are based on reading the Continuum (Next.js/Prisma) and ChickletFlow (FastAPI/Alembic) code in C:\99-AI Projects. Effort and week estimates are first-pass and owners are TBD.</t>
  </si>
  <si>
    <t>#</t>
  </si>
  <si>
    <t>Milestone</t>
  </si>
  <si>
    <t>Week</t>
  </si>
  <si>
    <t>Date (Fri)</t>
  </si>
  <si>
    <t>Exit criteria</t>
  </si>
  <si>
    <t>M0 Kickoff</t>
  </si>
  <si>
    <t>Plan approved, owners assigned, Azure subscription and quota requests opened</t>
  </si>
  <si>
    <t>M1 Azure dev live (R0)</t>
  </si>
  <si>
    <t>IaC deployed, containers in ACR, CI/CD green, OpenAI + AI Search provisioned</t>
  </si>
  <si>
    <t>M2 Integration contract signed</t>
  </si>
  <si>
    <t>Event/ID contract agreed by DarkHorse, Continuum, ChickletFlow</t>
  </si>
  <si>
    <t>M3 MVP feature complete</t>
  </si>
  <si>
    <t>Editor -&gt; APIM -&gt; MCP/LLM proxy -&gt; AI Search working with Entra auth and Continuum read</t>
  </si>
  <si>
    <t>M4 MVP go-live on Azure (internal pilot)</t>
  </si>
  <si>
    <t>Prod env up, one real RICEFW end to end, go/no-go passed</t>
  </si>
  <si>
    <t>M5 Hypercare exit</t>
  </si>
  <si>
    <t>Stable for 2 weeks, holiday period buffer, defects triaged</t>
  </si>
  <si>
    <t>M6 Continuum + ChickletFlow on Azure with SSO</t>
  </si>
  <si>
    <t>Both apps deployed, Entra SSO, auth on ChickletFlow</t>
  </si>
  <si>
    <t>M7 R2 release: integrated flow + memory</t>
  </si>
  <si>
    <t>Memory, Clean Core loop, push-back, webhook, StatusReporter live</t>
  </si>
  <si>
    <t>M8 R3 release: marketplace + private networking</t>
  </si>
  <si>
    <t>Agent marketplace, multi-model, dashboards, UAT complete</t>
  </si>
  <si>
    <t>M9 Security sign-off</t>
  </si>
  <si>
    <t>Pen-test findings closed, DR test passed</t>
  </si>
  <si>
    <t>M10 GA</t>
  </si>
  <si>
    <t>Production release, client-tenant template, support model live</t>
  </si>
  <si>
    <t>ID</t>
  </si>
  <si>
    <t>Workstream</t>
  </si>
  <si>
    <t>Feature</t>
  </si>
  <si>
    <t>Description</t>
  </si>
  <si>
    <t>Release week</t>
  </si>
  <si>
    <t>Priority</t>
  </si>
  <si>
    <t>Status</t>
  </si>
  <si>
    <t>Start wk</t>
  </si>
  <si>
    <t>End wk</t>
  </si>
  <si>
    <t>Start date</t>
  </si>
  <si>
    <t>End date</t>
  </si>
  <si>
    <t>Person-weeks</t>
  </si>
  <si>
    <t>Depends on</t>
  </si>
  <si>
    <t>Owner</t>
  </si>
  <si>
    <t>MVP?</t>
  </si>
  <si>
    <t>A1</t>
  </si>
  <si>
    <t>Azure Platform</t>
  </si>
  <si>
    <t>Azure landing zone + IaC</t>
  </si>
  <si>
    <t>Bicep/Terraform: resource groups (dev/prod), Key Vault, ACR, Log Analytics, tagging, RBAC</t>
  </si>
  <si>
    <t>High</t>
  </si>
  <si>
    <t>Planned</t>
  </si>
  <si>
    <t/>
  </si>
  <si>
    <t>TBD</t>
  </si>
  <si>
    <t>Yes</t>
  </si>
  <si>
    <t>A2</t>
  </si>
  <si>
    <t>Azure OpenAI / Foundry deployments</t>
  </si>
  <si>
    <t>Chat model + text-embedding-3 deployments; quota request; region and data-residency decision</t>
  </si>
  <si>
    <t>A3</t>
  </si>
  <si>
    <t>Azure AI Search + index schema v2</t>
  </si>
  <si>
    <t>Standard S1, semantic ranker, hybrid index with metadata fields (object type, C1 status, S/4 version, source)</t>
  </si>
  <si>
    <t>A4</t>
  </si>
  <si>
    <t>Containerize services</t>
  </si>
  <si>
    <t>Dockerfiles for darkhorse-mcp, llm-proxy, ingest job (with headless Chromium), agent service; push to ACR</t>
  </si>
  <si>
    <t>A5</t>
  </si>
  <si>
    <t>Container Apps env + APIM + Front Door</t>
  </si>
  <si>
    <t>Internal ingress behind APIM, custom domain, rate limits, audit logging</t>
  </si>
  <si>
    <t>A6</t>
  </si>
  <si>
    <t>Entra ID auth + managed identity</t>
  </si>
  <si>
    <t>App registration, JWT validation in APIM, replace API keys (Search, OpenAI, Cosmos) with managed identity</t>
  </si>
  <si>
    <t>A7</t>
  </si>
  <si>
    <t>CI/CD pipelines</t>
  </si>
  <si>
    <t>GitHub Actions: build, test, image scan, deploy dev/prod, scheduled ingest</t>
  </si>
  <si>
    <t>A8</t>
  </si>
  <si>
    <t>Observability + cost controls</t>
  </si>
  <si>
    <t>App Insights, dashboards, alerts, budgets, token usage metering</t>
  </si>
  <si>
    <t>Med</t>
  </si>
  <si>
    <t>A9</t>
  </si>
  <si>
    <t>Prod environment + go-live runbook</t>
  </si>
  <si>
    <t>Prod resources, smoke tests, rollback plan, on-call, MVP cutover</t>
  </si>
  <si>
    <t>A6,A8</t>
  </si>
  <si>
    <t>A10</t>
  </si>
  <si>
    <t>Private networking</t>
  </si>
  <si>
    <t>VNet integration, Private Endpoints for OpenAI/Search/Cosmos, no public access option</t>
  </si>
  <si>
    <t>A11</t>
  </si>
  <si>
    <t>Per-client deployment template</t>
  </si>
  <si>
    <t>Parameterized IaC for deployment into a client subscription/tenant + onboarding guide</t>
  </si>
  <si>
    <t>A12</t>
  </si>
  <si>
    <t>DR, backup, load and pen-test remediation</t>
  </si>
  <si>
    <t>Backups, RPO/RTO test, load test, fix security findings</t>
  </si>
  <si>
    <t>B0</t>
  </si>
  <si>
    <t>RAG &amp; Knowledge</t>
  </si>
  <si>
    <t>Ingest framework + 8 fetchers + Azure embedder/index</t>
  </si>
  <si>
    <t>IFetcher/IChunker/IEmbedder/IVectorIndex; API Hub, Clean Core Guide, Arch Center, Help Portal</t>
  </si>
  <si>
    <t>Shipped</t>
  </si>
  <si>
    <t>Done</t>
  </si>
  <si>
    <t>B1</t>
  </si>
  <si>
    <t>Scheduled ingest job on Azure</t>
  </si>
  <si>
    <t>Container Apps Job (nightly/weekly), run history, failure alerts</t>
  </si>
  <si>
    <t>A4,A3</t>
  </si>
  <si>
    <t>B2</t>
  </si>
  <si>
    <t>Re-ingest KB with hybrid + metadata filters</t>
  </si>
  <si>
    <t>Re-embed existing sources into index v2; released-API / S/4 version / object type filters</t>
  </si>
  <si>
    <t>A3,A2</t>
  </si>
  <si>
    <t>B3</t>
  </si>
  <si>
    <t>EDMX live run (XSUAA auth)</t>
  </si>
  <si>
    <t>BTP trial / bearer token path to download EDMX from API Hub</t>
  </si>
  <si>
    <t>B4</t>
  </si>
  <si>
    <t>help-portal-cds re-crawl</t>
  </si>
  <si>
    <t>Re-crawl per-view detail pages to capture ABAP technical names</t>
  </si>
  <si>
    <t>B5</t>
  </si>
  <si>
    <t>KB coverage gap closure</t>
  </si>
  <si>
    <t>Close gaps from DarkHorse_08_KB_Assessment.md (BAdIs, RAP, CBO patterns, released API lists)</t>
  </si>
  <si>
    <t>B8</t>
  </si>
  <si>
    <t>B6</t>
  </si>
  <si>
    <t>LearningPortalFetcher</t>
  </si>
  <si>
    <t>Lowest-priority additional source</t>
  </si>
  <si>
    <t>Low</t>
  </si>
  <si>
    <t>B7</t>
  </si>
  <si>
    <t>Blob raw cache + ingest versioning</t>
  </si>
  <si>
    <t>Store raw fetched docs in Blob, version index builds, rollback to previous index</t>
  </si>
  <si>
    <t>Retrieval quality eval harness</t>
  </si>
  <si>
    <t>Golden set of Clean Core questions; precision/recall, groundedness checks; run on every KB change</t>
  </si>
  <si>
    <t>C1</t>
  </si>
  <si>
    <t>MCP Server</t>
  </si>
  <si>
    <t>MCP tools (verify_badi/exit, clean core level, CDS, EML, RAP, CBO)</t>
  </si>
  <si>
    <t>Local MCP server with 9+ tools and static + Azure KnowledgeProvider</t>
  </si>
  <si>
    <t>C2</t>
  </si>
  <si>
    <t>MCP HTTP/SSE transport + auth middleware</t>
  </si>
  <si>
    <t>Confirm/enable network transport; validate Entra token; per-request tenant context</t>
  </si>
  <si>
    <t>C3</t>
  </si>
  <si>
    <t>MCP uses managed identity for Search</t>
  </si>
  <si>
    <t>Remove AZURE_SEARCH_KEY; Search Index Data Reader role</t>
  </si>
  <si>
    <t>C2,A6</t>
  </si>
  <si>
    <t>C4</t>
  </si>
  <si>
    <t>New MCP tools</t>
  </si>
  <si>
    <t>get_released_api, check_atc_cleancore, search_memory, save_memory</t>
  </si>
  <si>
    <t>E2</t>
  </si>
  <si>
    <t>C5</t>
  </si>
  <si>
    <t>MCP rate limits, audit logs, tenant filters</t>
  </si>
  <si>
    <t>Usage audit and per-client index filtering</t>
  </si>
  <si>
    <t>D1</t>
  </si>
  <si>
    <t>Agents &amp; Pipeline</t>
  </si>
  <si>
    <t>Grounded Code/TDS/SO/FDS agents</t>
  </si>
  <si>
    <t>Agents call MCP for grounding before generation (CPI-6 sprints 3-5)</t>
  </si>
  <si>
    <t>D2</t>
  </si>
  <si>
    <t>ReviewAgent + auto-rewrite + ZI_ wrappers</t>
  </si>
  <si>
    <t>Independent LLM critic, direct-table SELECT rewrite, auto CDS wrappers (sprint 6)</t>
  </si>
  <si>
    <t>D3</t>
  </si>
  <si>
    <t>TdsPostCodeAgent</t>
  </si>
  <si>
    <t>Fills TDS program logic, CDS defs, test cases after code gen</t>
  </si>
  <si>
    <t>D4</t>
  </si>
  <si>
    <t>Solution architecture diagram</t>
  </si>
  <si>
    <t>Mermaid call/dependency graph after code generation</t>
  </si>
  <si>
    <t>D5</t>
  </si>
  <si>
    <t>Headless agent service on Azure</t>
  </si>
  <si>
    <t>Extract pipeline orchestration from the extension into a service API so Continuum/ChickletFlow can trigger runs</t>
  </si>
  <si>
    <t>D6,C2</t>
  </si>
  <si>
    <t>D6</t>
  </si>
  <si>
    <t>LLM proxy on Azure</t>
  </si>
  <si>
    <t>Azure OpenAI backend via adapter, PII/secret scrubbing, token metering, retries</t>
  </si>
  <si>
    <t>A2,A5</t>
  </si>
  <si>
    <t>D7</t>
  </si>
  <si>
    <t>Clean Core validation loop</t>
  </si>
  <si>
    <t>Generate, validate vs released APIs / ATC Clean Core, auto-retry, log violations for KB gaps</t>
  </si>
  <si>
    <t>B2,C2</t>
  </si>
  <si>
    <t>D8</t>
  </si>
  <si>
    <t>Source citations in generated output</t>
  </si>
  <si>
    <t>Attach retrieved chunk references to generated TDS/code</t>
  </si>
  <si>
    <t>D9</t>
  </si>
  <si>
    <t>Agent marketplace (Sprint 7)</t>
  </si>
  <si>
    <t>Catalog, install and versioning of agents per docs/DarkHorse_06 Sprint 7</t>
  </si>
  <si>
    <t>D10</t>
  </si>
  <si>
    <t>Multi-model routing</t>
  </si>
  <si>
    <t>Azure OpenAI / Claude on Foundry / Ollama via adapter; per-agent model choice</t>
  </si>
  <si>
    <t>D11</t>
  </si>
  <si>
    <t>Prompt registry + eval regression suite</t>
  </si>
  <si>
    <t>Versioned prompts, automated regression on golden FDS/TDS set</t>
  </si>
  <si>
    <t>E1</t>
  </si>
  <si>
    <t>Memory</t>
  </si>
  <si>
    <t>Cosmos DB + memory schema</t>
  </si>
  <si>
    <t>Provision Cosmos; session/project/user memory containers; partition by client/project</t>
  </si>
  <si>
    <t>Session &amp; project memory API</t>
  </si>
  <si>
    <t>Memory read/write service + MCP tools; agents recall prior decisions</t>
  </si>
  <si>
    <t>E3</t>
  </si>
  <si>
    <t>Correction Store indexed to AI Search</t>
  </si>
  <si>
    <t>Developer edits (corrections/*.json) become retrievable long-term memory</t>
  </si>
  <si>
    <t>E1,B2</t>
  </si>
  <si>
    <t>E4</t>
  </si>
  <si>
    <t>Approved-pattern library</t>
  </si>
  <si>
    <t>Promote reviewed code to curated patterns; retrieval boost</t>
  </si>
  <si>
    <t>E5</t>
  </si>
  <si>
    <t>Memory governance</t>
  </si>
  <si>
    <t>Retention, per-client isolation, PII purge, export</t>
  </si>
  <si>
    <t>F1</t>
  </si>
  <si>
    <t>Editor</t>
  </si>
  <si>
    <t>Editor endpoint config + Entra sign-in</t>
  </si>
  <si>
    <t>Settings for APIM URL per client; sign-in flow; token refresh</t>
  </si>
  <si>
    <t>F2</t>
  </si>
  <si>
    <t>Extension v0.7.38 + version in status bar</t>
  </si>
  <si>
    <t>Current editor extension baseline</t>
  </si>
  <si>
    <t>F3</t>
  </si>
  <si>
    <t>Pipeline UX for Azure status/errors</t>
  </si>
  <si>
    <t>Clear surfacing of grounding failures, auth expiry, throttling</t>
  </si>
  <si>
    <t>F4</t>
  </si>
  <si>
    <t>Installer + update channel</t>
  </si>
  <si>
    <t>Signed .vsix / fork builds, release channels (pilot/stable)</t>
  </si>
  <si>
    <t>F5</t>
  </si>
  <si>
    <t>Telemetry (opt-in) + usage dashboard</t>
  </si>
  <si>
    <t>Adoption, generation success, Clean Core pass rate</t>
  </si>
  <si>
    <t>G1</t>
  </si>
  <si>
    <t>Continuum Integration</t>
  </si>
  <si>
    <t>Continuum service-token API + OpenAPI spec</t>
  </si>
  <si>
    <t>Machine auth for /api/w/[slug]/ricefws* (today session-only); documented contract</t>
  </si>
  <si>
    <t>I2</t>
  </si>
  <si>
    <t>G2</t>
  </si>
  <si>
    <t>DarkHorse ContinuumClient (pull specs)</t>
  </si>
  <si>
    <t>Fetch approved FDS/TDS sections by objectId as pipeline input</t>
  </si>
  <si>
    <t>G3</t>
  </si>
  <si>
    <t>Push-back from DarkHorse</t>
  </si>
  <si>
    <t>Create draft version / attachments: generated TDS, code, diagram, Clean Core report</t>
  </si>
  <si>
    <t>G5,G2</t>
  </si>
  <si>
    <t>G4</t>
  </si>
  <si>
    <t>Approval webhook -&gt; DarkHorse run</t>
  </si>
  <si>
    <t>On APPROVED/PUBLISHED version, trigger agent service run</t>
  </si>
  <si>
    <t>D5,G5</t>
  </si>
  <si>
    <t>G5</t>
  </si>
  <si>
    <t>Continuum schema additions</t>
  </si>
  <si>
    <t>darkhorseRunId, cleanCoreScore, generated objects; TraceSystem DARKHORSE; Prisma migration</t>
  </si>
  <si>
    <t>G6</t>
  </si>
  <si>
    <t>Continuum on Azure + Entra SSO</t>
  </si>
  <si>
    <t>Container Apps + Azure Postgres Flexible; replace credentials auth with Entra</t>
  </si>
  <si>
    <t>A1,I1</t>
  </si>
  <si>
    <t>G7</t>
  </si>
  <si>
    <t>Continuum AI via LLM proxy</t>
  </si>
  <si>
    <t>Replace direct ANTHROPIC_API_KEY in lib/ai with Azure LLM proxy</t>
  </si>
  <si>
    <t>D6,G6</t>
  </si>
  <si>
    <t>G8</t>
  </si>
  <si>
    <t>Continuum UI: Generate with DarkHorse</t>
  </si>
  <si>
    <t>Button, run status panel, Clean Core badge on RICEFW page</t>
  </si>
  <si>
    <t>H1</t>
  </si>
  <si>
    <t>ChickletFlow Integration</t>
  </si>
  <si>
    <t>ChickletFlow auth (Entra + service tokens)</t>
  </si>
  <si>
    <t>No auth today (CORS only); secure API and WebSocket</t>
  </si>
  <si>
    <t>I1</t>
  </si>
  <si>
    <t>H2</t>
  </si>
  <si>
    <t>Work item link fields</t>
  </si>
  <si>
    <t>continuum_object_id, continuum_url, darkhorse_run_id, clean_core_score; Alembic migration</t>
  </si>
  <si>
    <t>H3</t>
  </si>
  <si>
    <t>Events endpoint + status_history source</t>
  </si>
  <si>
    <t>POST /api/work-items/{id}/events; record source (user/darkhorse/continuum); broadcast over /ws/board</t>
  </si>
  <si>
    <t>H2,H1</t>
  </si>
  <si>
    <t>H4</t>
  </si>
  <si>
    <t>DarkHorse StatusReporter</t>
  </si>
  <si>
    <t>Pipeline moves chicklets as run progresses (Build In-Progress, TS Updates/Code Review, blocked on failure)</t>
  </si>
  <si>
    <t>H3,D5</t>
  </si>
  <si>
    <t>H5</t>
  </si>
  <si>
    <t>Auto-status mapping rules</t>
  </si>
  <si>
    <t>Continuum approval states and DarkHorse results map to board columns; configurable</t>
  </si>
  <si>
    <t>H6</t>
  </si>
  <si>
    <t>ChickletFlow on Azure</t>
  </si>
  <si>
    <t>Container Apps + Postgres Flexible; WebSocket ingress or Web PubSub; Alembic on deploy</t>
  </si>
  <si>
    <t>H7</t>
  </si>
  <si>
    <t>Board: run badge + delivery dashboard</t>
  </si>
  <si>
    <t>DarkHorse run badge, Clean Core score, cycle-time / throughput by status</t>
  </si>
  <si>
    <t>Cross-Product</t>
  </si>
  <si>
    <t>Unified identity (Entra groups/roles)</t>
  </si>
  <si>
    <t>Common roles across DarkHorse, Continuum, ChickletFlow; group-based access</t>
  </si>
  <si>
    <t>Event and ID contract</t>
  </si>
  <si>
    <t>Shared schema: RICEFW ID mapping, run events, statuses; versioned; sign-off by all 3 teams</t>
  </si>
  <si>
    <t>I3</t>
  </si>
  <si>
    <t>End-to-end UAT</t>
  </si>
  <si>
    <t>Continuum approval -&gt; DarkHorse -&gt; code -&gt; ChickletFlow status, across 5+ RICEFW types</t>
  </si>
  <si>
    <t>G4,H4</t>
  </si>
  <si>
    <t>I4</t>
  </si>
  <si>
    <t>Internal pilot on one RICEFW</t>
  </si>
  <si>
    <t>End-to-end with a real object from Continuum Docs (e.g. RTR-R-0717 report) on Azure</t>
  </si>
  <si>
    <t>G2,A9</t>
  </si>
  <si>
    <t>I5</t>
  </si>
  <si>
    <t>Wider program pilot</t>
  </si>
  <si>
    <t>Run on a full RICEFW backlog for one program; collect accuracy and time-saved metrics</t>
  </si>
  <si>
    <t>J1</t>
  </si>
  <si>
    <t>Release &amp; Governance</t>
  </si>
  <si>
    <t>Threat model + security design review</t>
  </si>
  <si>
    <t>Data flows, secrets, tenant isolation; Azure Policy baseline</t>
  </si>
  <si>
    <t>J2</t>
  </si>
  <si>
    <t>Documentation + training</t>
  </si>
  <si>
    <t>Admin guide, developer guide, runbooks, short training videos</t>
  </si>
  <si>
    <t>J3</t>
  </si>
  <si>
    <t>GA readiness + go-live</t>
  </si>
  <si>
    <t>Go/no-go, support model, SLA, comms</t>
  </si>
  <si>
    <t>J4,I5</t>
  </si>
  <si>
    <t>J4</t>
  </si>
  <si>
    <t>Security review + penetration test</t>
  </si>
  <si>
    <t>External/internal pen-test of the 3 apps and Azure estate</t>
  </si>
  <si>
    <t>Weekly timeline (driven by Features start/end week; change them in Features)</t>
  </si>
  <si>
    <t>Week starting (Mon)</t>
  </si>
  <si>
    <t>Start</t>
  </si>
  <si>
    <t>End</t>
  </si>
  <si>
    <t>Milestones (diamond)</t>
  </si>
  <si>
    <t>Releases (R0/MVP/R2/R3/GA)</t>
  </si>
  <si>
    <t>Release plan - when each feature goes live</t>
  </si>
  <si>
    <t>Release weeks are the source of truth; each Planned feature must finish by its release week.</t>
  </si>
  <si>
    <t>Name</t>
  </si>
  <si>
    <t>Go-live date (Fri)</t>
  </si>
  <si>
    <t>Environment</t>
  </si>
  <si>
    <t>New features</t>
  </si>
  <si>
    <t>Go/no-go criteria</t>
  </si>
  <si>
    <t>Azure dev</t>
  </si>
  <si>
    <t>IaC reproducible; CI/CD green; MCP + LLM proxy reachable in dev; KB in index v2; contract drafted</t>
  </si>
  <si>
    <t>Azure prod (internal pilot)</t>
  </si>
  <si>
    <t>Entra auth enforced; retrieval eval above agreed threshold; one real RICEFW end to end; rollback tested; budgets/alerts live</t>
  </si>
  <si>
    <t>Azure prod (pilot teams)</t>
  </si>
  <si>
    <t>Clean Core loop pass-rate target met; Continuum webhook -&gt; run -&gt; push-back -&gt; ChickletFlow status works; auth on all three apps</t>
  </si>
  <si>
    <t>Azure prod (all programs)</t>
  </si>
  <si>
    <t>UAT across 5+ RICEFW types; private networking validated; marketplace install/update works</t>
  </si>
  <si>
    <t>Azure prod + client-tenant template</t>
  </si>
  <si>
    <t>Pen-test findings closed; DR test passed; docs + training done; support model and SLA agreed</t>
  </si>
  <si>
    <t>Features by release</t>
  </si>
  <si>
    <t>Go-live date</t>
  </si>
  <si>
    <t>Live (v0.7.38)</t>
  </si>
  <si>
    <t>System</t>
  </si>
  <si>
    <t>Area</t>
  </si>
  <si>
    <t>Type</t>
  </si>
  <si>
    <t>Change required</t>
  </si>
  <si>
    <t>Where (code)</t>
  </si>
  <si>
    <t>Continuum</t>
  </si>
  <si>
    <t>Auth</t>
  </si>
  <si>
    <t>API</t>
  </si>
  <si>
    <t>Add service-token (API key / Entra client-credential) auth alongside NextAuth sessions so DarkHorse can call ricefw endpoints</t>
  </si>
  <si>
    <t>lib/auth.ts, middleware.ts, app/api/w/[slug]/ricefws/*</t>
  </si>
  <si>
    <t>API contract</t>
  </si>
  <si>
    <t>Publish OpenAPI spec for read of latest APPROVED RicefwVersion sections (BR, FD, TD, Test, Cutover) by workspace slug + objectId</t>
  </si>
  <si>
    <t>app/api/w/[slug]/ricefws/[id]/route.ts</t>
  </si>
  <si>
    <t>Schema</t>
  </si>
  <si>
    <t>Data model</t>
  </si>
  <si>
    <t>Add darkhorseRunId, cleanCoreScore, generatedObjects (JSON) to Ricefw/RicefwVersion; add DARKHORSE to TraceSystem enum; Prisma migration</t>
  </si>
  <si>
    <t>prisma/schema.prisma (Ricefw, TraceLink, TraceSystem)</t>
  </si>
  <si>
    <t>Write-back</t>
  </si>
  <si>
    <t>Endpoint to create DRAFT version from DarkHorse and attach generated TDS/code/diagram/Clean Core report as Attachments</t>
  </si>
  <si>
    <t>app/api/w/[slug]/ricefws/[id]/attachments, versions</t>
  </si>
  <si>
    <t>Webhook</t>
  </si>
  <si>
    <t>Emit signed webhook on approval (APPROVED/PUBLISHED) to DarkHorse agent service; retry + dead-letter</t>
  </si>
  <si>
    <t>app/api/w/[slug]/ricefws/[id]/approvals/route.ts, status/route.ts</t>
  </si>
  <si>
    <t>Identity</t>
  </si>
  <si>
    <t>Replace credentials/invite-only auth with Entra ID SSO; map Entra groups to WorkspaceRole</t>
  </si>
  <si>
    <t>app/api/auth/[...nextauth], lib/auth.ts</t>
  </si>
  <si>
    <t>AI</t>
  </si>
  <si>
    <t>Code</t>
  </si>
  <si>
    <t>Route lib/ai (enhanceField) through the Azure LLM proxy instead of direct ANTHROPIC_API_KEY</t>
  </si>
  <si>
    <t>lib/ai.ts, app/api/w/[slug]/ai/enhance/route.ts</t>
  </si>
  <si>
    <t>Deploy</t>
  </si>
  <si>
    <t>Infra</t>
  </si>
  <si>
    <t>Container Apps + Azure Postgres Flexible Server; Key Vault for AUTH_SECRET; run prisma migrate deploy in release pipeline</t>
  </si>
  <si>
    <t>Dockerfile, docker-compose.yml</t>
  </si>
  <si>
    <t>UI</t>
  </si>
  <si>
    <t>Generate with DarkHorse button, run status panel, Clean Core score badge on RICEFW page</t>
  </si>
  <si>
    <t>components/*, app/w/[slug]/...</t>
  </si>
  <si>
    <t>ChickletFlow</t>
  </si>
  <si>
    <t>Add Entra ID auth + service tokens to FastAPI and /ws/board (currently open; CORS only)</t>
  </si>
  <si>
    <t>backend/app/main.py, config.py, websocket.py</t>
  </si>
  <si>
    <t>Add continuum_object_id, continuum_url, darkhorse_run_id, clean_core_score to work_items; Alembic migration</t>
  </si>
  <si>
    <t>backend/app/models.py, schemas.py, alembic/</t>
  </si>
  <si>
    <t>Events</t>
  </si>
  <si>
    <t>POST /api/work-items/{id}/events for DarkHorse/Continuum; add source column to status_history; broadcast over WebSocket</t>
  </si>
  <si>
    <t>backend/app/routers/work_items.py, crud.py, websocket.py</t>
  </si>
  <si>
    <t>Status mapping</t>
  </si>
  <si>
    <t>Configurable mapping: Continuum approval and DarkHorse stages -&gt; board columns (Build In-Progress, TS Updates/TUT/Code Review, Blocked on failure)</t>
  </si>
  <si>
    <t>backend/app/crud.py, routers/status_duration.py</t>
  </si>
  <si>
    <t>Import</t>
  </si>
  <si>
    <t>Excel import maps story ID to Continuum objectId automatically</t>
  </si>
  <si>
    <t>backend/app/excel_import.py</t>
  </si>
  <si>
    <t>Container Apps + Azure Postgres Flexible; WebSocket support (ingress or Azure Web PubSub); Alembic on deploy</t>
  </si>
  <si>
    <t>docker-compose.yml, backend/</t>
  </si>
  <si>
    <t>DarkHorse run badge, Clean Core score on chicklet; cycle-time and throughput dashboard</t>
  </si>
  <si>
    <t>frontend/src/*</t>
  </si>
  <si>
    <t>DarkHorse</t>
  </si>
  <si>
    <t>Client</t>
  </si>
  <si>
    <t>ContinuumClient: pull approved specs by objectId as pipeline input (replaces manual docx)</t>
  </si>
  <si>
    <t>extensions/darkhorse-pipeline/src</t>
  </si>
  <si>
    <t>Push-back of generated artifacts to Continuum; StatusReporter to ChickletFlow</t>
  </si>
  <si>
    <t>extensions/darkhorse-pipeline/src, new agent service</t>
  </si>
  <si>
    <t>Service</t>
  </si>
  <si>
    <t>Headless agent service exposing run API (start, status, cancel) for Continuum webhook</t>
  </si>
  <si>
    <t>extensions/darkhorse-agents -&gt; services/</t>
  </si>
  <si>
    <t>All</t>
  </si>
  <si>
    <t>Contract</t>
  </si>
  <si>
    <t>Design</t>
  </si>
  <si>
    <t>Shared event/ID contract and versioning (RICEFW ID, run id, status events)</t>
  </si>
  <si>
    <t>docs/ (new integration spec)</t>
  </si>
  <si>
    <t>Step</t>
  </si>
  <si>
    <t>Phase</t>
  </si>
  <si>
    <t>What gets deployed</t>
  </si>
  <si>
    <t>1</t>
  </si>
  <si>
    <t>Foundation</t>
  </si>
  <si>
    <t>Subscription, RBAC, naming/tagging, resource groups dev/prod, Key Vault, ACR, Log Analytics</t>
  </si>
  <si>
    <t>A1, J1</t>
  </si>
  <si>
    <t>Dev</t>
  </si>
  <si>
    <t>2</t>
  </si>
  <si>
    <t>AI services</t>
  </si>
  <si>
    <t>Azure OpenAI chat + embeddings deployments, AI Search S1 + semantic ranker</t>
  </si>
  <si>
    <t>A2, A3</t>
  </si>
  <si>
    <t>3</t>
  </si>
  <si>
    <t>Containers + CI/CD</t>
  </si>
  <si>
    <t>Dockerfiles, ACR push, Container Apps env, GitHub Actions</t>
  </si>
  <si>
    <t>A4, A7</t>
  </si>
  <si>
    <t>4</t>
  </si>
  <si>
    <t>Dev live (R0)</t>
  </si>
  <si>
    <t>MCP + LLM proxy reachable in dev; KB ingested to index v2</t>
  </si>
  <si>
    <t>M1</t>
  </si>
  <si>
    <t>5</t>
  </si>
  <si>
    <t>Edge + identity</t>
  </si>
  <si>
    <t>APIM, Front Door, Entra app registration, managed identities</t>
  </si>
  <si>
    <t>A5, A6</t>
  </si>
  <si>
    <t>Dev -&gt; Prod</t>
  </si>
  <si>
    <t>6</t>
  </si>
  <si>
    <t>Ingest + retrieval</t>
  </si>
  <si>
    <t>Scheduled ingest job, hybrid index, eval harness</t>
  </si>
  <si>
    <t>B1, B2, B8</t>
  </si>
  <si>
    <t>7</t>
  </si>
  <si>
    <t>Observability</t>
  </si>
  <si>
    <t>App Insights, dashboards, alerts, budgets</t>
  </si>
  <si>
    <t>8</t>
  </si>
  <si>
    <t>Prod + MVP go-live</t>
  </si>
  <si>
    <t>Prod env, runbook, smoke tests, pilot RICEFW</t>
  </si>
  <si>
    <t>A9, I4</t>
  </si>
  <si>
    <t>Prod</t>
  </si>
  <si>
    <t>9</t>
  </si>
  <si>
    <t>Continuum + ChickletFlow to Azure</t>
  </si>
  <si>
    <t>Container Apps + Postgres Flexible for both apps; Entra SSO</t>
  </si>
  <si>
    <t>G6, H6, H1</t>
  </si>
  <si>
    <t>10</t>
  </si>
  <si>
    <t>Memory + agent service</t>
  </si>
  <si>
    <t>Cosmos DB, headless agent service, MCP memory tools</t>
  </si>
  <si>
    <t>E1, D5</t>
  </si>
  <si>
    <t>11</t>
  </si>
  <si>
    <t>VNet, Private Endpoints, optional no-public-access</t>
  </si>
  <si>
    <t>12</t>
  </si>
  <si>
    <t>Client-tenant template + DR</t>
  </si>
  <si>
    <t>Parameterized IaC for client subscriptions, DR test, pen-test fixes</t>
  </si>
  <si>
    <t>A11, A12</t>
  </si>
  <si>
    <t>Prod / Client</t>
  </si>
  <si>
    <t>Key Azure dates</t>
  </si>
  <si>
    <t>Dev environment live</t>
  </si>
  <si>
    <t>Week 4</t>
  </si>
  <si>
    <t>Prod environment + MVP go-live</t>
  </si>
  <si>
    <t>Week 8</t>
  </si>
  <si>
    <t>Continuum + ChickletFlow on Azure</t>
  </si>
  <si>
    <t>Week 11</t>
  </si>
  <si>
    <t>Integrated release (R2)</t>
  </si>
  <si>
    <t>Week 14</t>
  </si>
  <si>
    <t>Private networking done</t>
  </si>
  <si>
    <t>Week 20</t>
  </si>
  <si>
    <t>GA / client-tenant template</t>
  </si>
  <si>
    <t>Week 24</t>
  </si>
  <si>
    <t>Total (pw)</t>
  </si>
  <si>
    <t>Total</t>
  </si>
  <si>
    <t>Person-weeks are first-pass estimates. Divide by team size and release duration to check capacity.</t>
  </si>
  <si>
    <t>Risk</t>
  </si>
  <si>
    <t>Impact</t>
  </si>
  <si>
    <t>Mitigation</t>
  </si>
  <si>
    <t>Related</t>
  </si>
  <si>
    <t>Azure OpenAI quota/model availability delays</t>
  </si>
  <si>
    <t>Request quota in week 1; keep adapter ready for Claude on Foundry / alternate region</t>
  </si>
  <si>
    <t>Holiday weeks (W9-W10, Dec 21 - Jan 1) reduce capacity</t>
  </si>
  <si>
    <t>MVP go-live set in W8; W9-10 are hypercare/buffer only</t>
  </si>
  <si>
    <t>M4, M5</t>
  </si>
  <si>
    <t>EDMX download requires XSUAA auth</t>
  </si>
  <si>
    <t>BTP trial or bearer token path; fall back to catalog-only metadata</t>
  </si>
  <si>
    <t>ChickletFlow has no auth today; exposing it on Azure is risky</t>
  </si>
  <si>
    <t>Entra + service tokens (H1) must land before any public ingress</t>
  </si>
  <si>
    <t>Three-team contract drift (IDs, statuses)</t>
  </si>
  <si>
    <t>Contract sign-off at M2; versioned events; contract tests in CI</t>
  </si>
  <si>
    <t>Retrieval quality limits Clean Core accuracy</t>
  </si>
  <si>
    <t>Eval harness (B8) gates KB changes; coverage gap closure (B5)</t>
  </si>
  <si>
    <t>B5, B8</t>
  </si>
  <si>
    <t>Client data residency / tenant isolation</t>
  </si>
  <si>
    <t>Per-client index filter, per-client deployment template, private networking</t>
  </si>
  <si>
    <t>A10, A11, E5</t>
  </si>
  <si>
    <t>Cost growth from AI Search + OpenAI usage</t>
  </si>
  <si>
    <t>Budgets and token metering from MVP (A8, D6)</t>
  </si>
  <si>
    <t>Team capacity unknown (owners are TBD)</t>
  </si>
  <si>
    <t>Assign owners in Features sheet; use Person-Weeks column to check load by workstream</t>
  </si>
  <si>
    <t>Open decisions</t>
  </si>
  <si>
    <t>1. Central multi-tenant Deloitte instance vs per-client deployment? (drives A11, E5)</t>
  </si>
  <si>
    <t>2. Which chat model is approved/quota-available in your Azure region?</t>
  </si>
  <si>
    <t>3. Does darkhorse-mcp already serve HTTP or only stdio? (confirm before C2)</t>
  </si>
  <si>
    <t>4. Who owns each workstream (owners are TBD)?</t>
  </si>
  <si>
    <t>5. Should Continuum remain invite-only for external client users, or federate client identities (Entra B2B)?</t>
  </si>
  <si>
    <t>6. Which Continuum approval state should trigger DarkHorse (APPROVED vs PUBLISHED)?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</si>
</sst>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d dd-mmm-yyyy"/>
    <numFmt numFmtId="165" formatCode="dd-mmm-yy"/>
    <numFmt numFmtId="166" formatCode="dd-mmm"/>
    <numFmt numFmtId="167" formatCode=";;;"/>
    <numFmt numFmtId="168" formatCode="dd-mmm-yyyy"/>
  </numFmts>
  <fonts count="18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sz val="12"/>
    </font>
    <font>
      <b/>
      <color rgb="FFFFFFFF"/>
    </font>
    <font>
      <b/>
    </font>
    <font>
      <b/>
      <color rgb="FF5B9BD5"/>
    </font>
    <font>
      <b/>
      <color rgb="FF70AD47"/>
    </font>
    <font>
      <b/>
      <color rgb="FFED7D31"/>
    </font>
    <font>
      <b/>
      <color rgb="FF7030A0"/>
    </font>
    <font>
      <b/>
      <color rgb="FFC00000"/>
    </font>
    <font>
      <b/>
      <color rgb="FF00B0B0"/>
    </font>
    <font>
      <b/>
      <color rgb="FFBF9000"/>
    </font>
    <font>
      <b/>
      <color rgb="FF2F5597"/>
    </font>
    <font>
      <b/>
      <color rgb="FF7F7F7F"/>
    </font>
    <font>
      <b/>
      <color rgb="FF375623"/>
    </font>
    <font>
      <b/>
      <color rgb="FF1F3864"/>
      <sz val="14"/>
    </font>
    <font>
      <i/>
    </font>
    <font>
      <b/>
      <color rgb="FF1F3864"/>
      <sz val="7"/>
    </font>
  </fonts>
  <fills count="1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00B0B0"/>
      </patternFill>
    </fill>
    <fill>
      <patternFill patternType="solid">
        <fgColor rgb="FFBF9000"/>
      </patternFill>
    </fill>
    <fill>
      <patternFill patternType="solid">
        <fgColor rgb="FF2F5597"/>
      </patternFill>
    </fill>
    <fill>
      <patternFill patternType="solid">
        <fgColor rgb="FF7F7F7F"/>
      </patternFill>
    </fill>
    <fill>
      <patternFill patternType="solid">
        <fgColor rgb="FF37562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rgb="FFC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vertical="top"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0" fontId="5" fillId="0" borderId="1" xfId="0" applyFont="1" applyBorder="1"/>
    <xf numFmtId="0" fontId="0" fillId="0" borderId="1" xfId="0" applyBorder="1" applyAlignment="1">
      <alignment vertical="top" wrapText="1"/>
    </xf>
    <xf numFmtId="165" fontId="0" fillId="0" borderId="1" xfId="0" applyNumberFormat="1" applyBorder="1"/>
    <xf numFmtId="0" fontId="0" fillId="4" borderId="1" xfId="0" applyFill="1" applyBorder="1"/>
    <xf numFmtId="0" fontId="6" fillId="4" borderId="1" xfId="0" applyFont="1" applyFill="1" applyBorder="1"/>
    <xf numFmtId="0" fontId="0" fillId="4" borderId="1" xfId="0" applyFill="1" applyBorder="1" applyAlignment="1">
      <alignment vertical="top" wrapText="1"/>
    </xf>
    <xf numFmtId="0" fontId="6" fillId="0" borderId="1" xfId="0" applyFont="1" applyBorder="1"/>
    <xf numFmtId="0" fontId="7" fillId="4" borderId="1" xfId="0" applyFont="1" applyFill="1" applyBorder="1"/>
    <xf numFmtId="0" fontId="7" fillId="0" borderId="1" xfId="0" applyFont="1" applyBorder="1"/>
    <xf numFmtId="0" fontId="8" fillId="4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0" fillId="4" borderId="1" xfId="0" applyFont="1" applyFill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0" xfId="0" applyFont="1"/>
    <xf numFmtId="0" fontId="16" fillId="0" borderId="0" xfId="0" applyFont="1"/>
    <xf numFmtId="166" fontId="0" fillId="0" borderId="0" xfId="0" applyNumberFormat="1" applyAlignment="1">
      <alignment horizontal="center" textRotation="90"/>
    </xf>
    <xf numFmtId="0" fontId="3" fillId="3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7" fillId="0" borderId="0" xfId="0" applyFont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3" fillId="5" borderId="0" xfId="0" applyFont="1" applyFill="1"/>
    <xf numFmtId="0" fontId="0" fillId="0" borderId="2" xfId="0" applyBorder="1"/>
    <xf numFmtId="167" fontId="0" fillId="0" borderId="0" xfId="0" applyNumberFormat="1"/>
    <xf numFmtId="167" fontId="0" fillId="0" borderId="2" xfId="0" applyNumberFormat="1" applyBorder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15" fillId="0" borderId="1" xfId="0" applyFont="1" applyBorder="1"/>
    <xf numFmtId="0" fontId="16" fillId="0" borderId="1" xfId="0" applyFont="1" applyBorder="1"/>
    <xf numFmtId="0" fontId="2" fillId="0" borderId="1" xfId="0" applyFont="1" applyBorder="1"/>
    <xf numFmtId="168" fontId="0" fillId="0" borderId="1" xfId="0" applyNumberFormat="1" applyBorder="1"/>
    <xf numFmtId="0" fontId="4" fillId="0" borderId="1" xfId="0" applyFont="1" applyBorder="1"/>
  </cellXfs>
  <cellStyles count="1">
    <cellStyle name="Normal" xfId="0" builtinId="0"/>
  </cellStyles>
  <dxfs count="10">
    <dxf>
      <fill>
        <patternFill patternType="solid">
          <fgColor rgb="FF5B9BD5"/>
          <bgColor rgb="FF5B9BD5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00B0B0"/>
          <bgColor rgb="FF00B0B0"/>
        </patternFill>
      </fill>
    </dxf>
    <dxf>
      <fill>
        <patternFill patternType="solid">
          <fgColor rgb="FFBF9000"/>
          <bgColor rgb="FFBF9000"/>
        </patternFill>
      </fill>
    </dxf>
    <dxf>
      <fill>
        <patternFill patternType="solid">
          <fgColor rgb="FF2F5597"/>
          <bgColor rgb="FF2F5597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375623"/>
          <bgColor rgb="FF37562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4" customWidth="1"/>
    <col min="3" max="3" width="22" customWidth="1"/>
    <col min="4" max="4" width="70" customWidth="1"/>
  </cols>
  <sheetData>
    <row r="2" spans="2:2" x14ac:dyDescent="0.25">
      <c r="B2" s="1" t="s">
        <v>0</v>
      </c>
    </row>
    <row r="4" spans="2:4" x14ac:dyDescent="0.25">
      <c r="B4" t="s">
        <v>1</v>
      </c>
      <c r="C4" s="2">
        <v>46321</v>
      </c>
      <c r="D4" t="s">
        <v>2</v>
      </c>
    </row>
    <row r="5" spans="2:3" x14ac:dyDescent="0.25">
      <c r="B5" t="s">
        <v>3</v>
      </c>
      <c r="C5" t="s">
        <v>4</v>
      </c>
    </row>
    <row r="6" spans="2:3" x14ac:dyDescent="0.25">
      <c r="B6" t="s">
        <v>5</v>
      </c>
      <c r="C6" t="s">
        <v>6</v>
      </c>
    </row>
    <row r="7" spans="2:3" x14ac:dyDescent="0.25">
      <c r="B7" t="s">
        <v>7</v>
      </c>
      <c r="C7" t="s">
        <v>8</v>
      </c>
    </row>
    <row r="9" spans="2:2" x14ac:dyDescent="0.25">
      <c r="B9" s="3" t="s">
        <v>9</v>
      </c>
    </row>
    <row r="10" spans="2:4" x14ac:dyDescent="0.25">
      <c r="B10" s="4" t="s">
        <v>10</v>
      </c>
      <c r="C10" s="4" t="s">
        <v>11</v>
      </c>
      <c r="D10" s="4" t="s">
        <v>12</v>
      </c>
    </row>
    <row r="11" spans="2:4" x14ac:dyDescent="0.25">
      <c r="B11" t="s">
        <v>13</v>
      </c>
      <c r="C11" s="5">
        <f>$C$4+7*(4-1)+4</f>
        <v>46346</v>
      </c>
      <c r="D11" s="6" t="s">
        <v>14</v>
      </c>
    </row>
    <row r="12" spans="2:4" x14ac:dyDescent="0.25">
      <c r="B12" t="s">
        <v>15</v>
      </c>
      <c r="C12" s="5">
        <f>$C$4+7*(8-1)+4</f>
        <v>46374</v>
      </c>
      <c r="D12" s="6" t="s">
        <v>16</v>
      </c>
    </row>
    <row r="13" spans="2:4" x14ac:dyDescent="0.25">
      <c r="B13" t="s">
        <v>17</v>
      </c>
      <c r="C13" s="5">
        <f>$C$4+7*(14-1)+4</f>
        <v>46416</v>
      </c>
      <c r="D13" s="6" t="s">
        <v>18</v>
      </c>
    </row>
    <row r="14" spans="2:4" x14ac:dyDescent="0.25">
      <c r="B14" t="s">
        <v>19</v>
      </c>
      <c r="C14" s="5">
        <f>$C$4+7*(20-1)+4</f>
        <v>46458</v>
      </c>
      <c r="D14" s="6" t="s">
        <v>20</v>
      </c>
    </row>
    <row r="15" spans="2:4" x14ac:dyDescent="0.25">
      <c r="B15" t="s">
        <v>21</v>
      </c>
      <c r="C15" s="5">
        <f>$C$4+7*(24-1)+4</f>
        <v>46486</v>
      </c>
      <c r="D15" s="6" t="s">
        <v>22</v>
      </c>
    </row>
    <row r="17" spans="2:2" x14ac:dyDescent="0.25">
      <c r="B17" s="3" t="s">
        <v>23</v>
      </c>
    </row>
    <row r="18" spans="2:4" x14ac:dyDescent="0.25">
      <c r="B18" t="s">
        <v>24</v>
      </c>
      <c r="C18" t="s">
        <v>25</v>
      </c>
      <c r="D18"/>
    </row>
    <row r="19" spans="2:4" x14ac:dyDescent="0.25">
      <c r="B19" t="s">
        <v>26</v>
      </c>
      <c r="C19" t="s">
        <v>27</v>
      </c>
      <c r="D19"/>
    </row>
    <row r="20" spans="2:4" x14ac:dyDescent="0.25">
      <c r="B20" t="s">
        <v>28</v>
      </c>
      <c r="C20" t="s">
        <v>29</v>
      </c>
      <c r="D20"/>
    </row>
    <row r="21" spans="2:4" x14ac:dyDescent="0.25">
      <c r="B21" t="s">
        <v>30</v>
      </c>
      <c r="C21" t="s">
        <v>31</v>
      </c>
      <c r="D21"/>
    </row>
    <row r="22" spans="2:4" x14ac:dyDescent="0.25">
      <c r="B22" t="s">
        <v>32</v>
      </c>
      <c r="C22" t="s">
        <v>33</v>
      </c>
      <c r="D22"/>
    </row>
    <row r="23" spans="2:4" x14ac:dyDescent="0.25">
      <c r="B23" t="s">
        <v>34</v>
      </c>
      <c r="C23" t="s">
        <v>35</v>
      </c>
      <c r="D23"/>
    </row>
    <row r="24" spans="2:4" x14ac:dyDescent="0.25">
      <c r="B24" t="s">
        <v>36</v>
      </c>
      <c r="C24" t="s">
        <v>37</v>
      </c>
      <c r="D24"/>
    </row>
    <row r="25" spans="2:4" x14ac:dyDescent="0.25">
      <c r="B25" t="s">
        <v>38</v>
      </c>
      <c r="C25" t="s">
        <v>39</v>
      </c>
      <c r="D25"/>
    </row>
    <row r="27" ht="48" customHeight="1" spans="2:4" x14ac:dyDescent="0.25">
      <c r="B27" s="7" t="s">
        <v>40</v>
      </c>
      <c r="C27" s="6" t="s">
        <v>41</v>
      </c>
      <c r="D27" s="6"/>
    </row>
  </sheetData>
  <mergeCells count="9">
    <mergeCell ref="C18:D18"/>
    <mergeCell ref="C19:D19"/>
    <mergeCell ref="C20:D20"/>
    <mergeCell ref="C21:D21"/>
    <mergeCell ref="C22:D22"/>
    <mergeCell ref="C23:D23"/>
    <mergeCell ref="C24:D24"/>
    <mergeCell ref="C25:D25"/>
    <mergeCell ref="C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6" customWidth="1"/>
    <col min="3" max="3" width="8" customWidth="1"/>
    <col min="4" max="4" width="16" customWidth="1"/>
    <col min="5" max="5" width="90" customWidth="1"/>
  </cols>
  <sheetData>
    <row r="1" spans="1:5" x14ac:dyDescent="0.25">
      <c r="A1" s="8" t="s">
        <v>42</v>
      </c>
      <c r="B1" s="8" t="s">
        <v>43</v>
      </c>
      <c r="C1" s="8" t="s">
        <v>44</v>
      </c>
      <c r="D1" s="8" t="s">
        <v>45</v>
      </c>
      <c r="E1" s="8" t="s">
        <v>46</v>
      </c>
    </row>
    <row r="2" spans="1:5" x14ac:dyDescent="0.25">
      <c r="A2" s="9">
        <v>0</v>
      </c>
      <c r="B2" s="9" t="s">
        <v>47</v>
      </c>
      <c r="C2" s="9">
        <v>1</v>
      </c>
      <c r="D2" s="10">
        <f>Summary!$C$4+7*(C2-1)+4</f>
        <v>46325</v>
      </c>
      <c r="E2" s="11" t="s">
        <v>48</v>
      </c>
    </row>
    <row r="3" spans="1:5" x14ac:dyDescent="0.25">
      <c r="A3" s="9">
        <v>1</v>
      </c>
      <c r="B3" s="9" t="s">
        <v>49</v>
      </c>
      <c r="C3" s="9">
        <v>4</v>
      </c>
      <c r="D3" s="10">
        <f>Summary!$C$4+7*(C3-1)+4</f>
        <v>46346</v>
      </c>
      <c r="E3" s="11" t="s">
        <v>50</v>
      </c>
    </row>
    <row r="4" spans="1:5" x14ac:dyDescent="0.25">
      <c r="A4" s="9">
        <v>2</v>
      </c>
      <c r="B4" s="9" t="s">
        <v>51</v>
      </c>
      <c r="C4" s="9">
        <v>4</v>
      </c>
      <c r="D4" s="10">
        <f>Summary!$C$4+7*(C4-1)+4</f>
        <v>46346</v>
      </c>
      <c r="E4" s="11" t="s">
        <v>52</v>
      </c>
    </row>
    <row r="5" spans="1:5" x14ac:dyDescent="0.25">
      <c r="A5" s="9">
        <v>3</v>
      </c>
      <c r="B5" s="9" t="s">
        <v>53</v>
      </c>
      <c r="C5" s="9">
        <v>7</v>
      </c>
      <c r="D5" s="10">
        <f>Summary!$C$4+7*(C5-1)+4</f>
        <v>46367</v>
      </c>
      <c r="E5" s="11" t="s">
        <v>54</v>
      </c>
    </row>
    <row r="6" spans="1:5" x14ac:dyDescent="0.25">
      <c r="A6" s="9">
        <v>4</v>
      </c>
      <c r="B6" s="9" t="s">
        <v>55</v>
      </c>
      <c r="C6" s="9">
        <v>8</v>
      </c>
      <c r="D6" s="10">
        <f>Summary!$C$4+7*(C6-1)+4</f>
        <v>46374</v>
      </c>
      <c r="E6" s="11" t="s">
        <v>56</v>
      </c>
    </row>
    <row r="7" spans="1:5" x14ac:dyDescent="0.25">
      <c r="A7" s="9">
        <v>5</v>
      </c>
      <c r="B7" s="9" t="s">
        <v>57</v>
      </c>
      <c r="C7" s="9">
        <v>10</v>
      </c>
      <c r="D7" s="10">
        <f>Summary!$C$4+7*(C7-1)+4</f>
        <v>46388</v>
      </c>
      <c r="E7" s="11" t="s">
        <v>58</v>
      </c>
    </row>
    <row r="8" spans="1:5" x14ac:dyDescent="0.25">
      <c r="A8" s="9">
        <v>6</v>
      </c>
      <c r="B8" s="9" t="s">
        <v>59</v>
      </c>
      <c r="C8" s="9">
        <v>11</v>
      </c>
      <c r="D8" s="10">
        <f>Summary!$C$4+7*(C8-1)+4</f>
        <v>46395</v>
      </c>
      <c r="E8" s="11" t="s">
        <v>60</v>
      </c>
    </row>
    <row r="9" spans="1:5" x14ac:dyDescent="0.25">
      <c r="A9" s="9">
        <v>7</v>
      </c>
      <c r="B9" s="9" t="s">
        <v>61</v>
      </c>
      <c r="C9" s="9">
        <v>14</v>
      </c>
      <c r="D9" s="10">
        <f>Summary!$C$4+7*(C9-1)+4</f>
        <v>46416</v>
      </c>
      <c r="E9" s="11" t="s">
        <v>62</v>
      </c>
    </row>
    <row r="10" spans="1:5" x14ac:dyDescent="0.25">
      <c r="A10" s="9">
        <v>8</v>
      </c>
      <c r="B10" s="9" t="s">
        <v>63</v>
      </c>
      <c r="C10" s="9">
        <v>20</v>
      </c>
      <c r="D10" s="10">
        <f>Summary!$C$4+7*(C10-1)+4</f>
        <v>46458</v>
      </c>
      <c r="E10" s="11" t="s">
        <v>64</v>
      </c>
    </row>
    <row r="11" spans="1:5" x14ac:dyDescent="0.25">
      <c r="A11" s="9">
        <v>9</v>
      </c>
      <c r="B11" s="9" t="s">
        <v>65</v>
      </c>
      <c r="C11" s="9">
        <v>22</v>
      </c>
      <c r="D11" s="10">
        <f>Summary!$C$4+7*(C11-1)+4</f>
        <v>46472</v>
      </c>
      <c r="E11" s="11" t="s">
        <v>66</v>
      </c>
    </row>
    <row r="12" spans="1:5" x14ac:dyDescent="0.25">
      <c r="A12" s="9">
        <v>10</v>
      </c>
      <c r="B12" s="9" t="s">
        <v>67</v>
      </c>
      <c r="C12" s="9">
        <v>24</v>
      </c>
      <c r="D12" s="10">
        <f>Summary!$C$4+7*(C12-1)+4</f>
        <v>46486</v>
      </c>
      <c r="E12" s="1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22" customWidth="1"/>
    <col min="3" max="3" width="42" customWidth="1"/>
    <col min="4" max="4" width="70" customWidth="1"/>
    <col min="5" max="5" width="10" customWidth="1"/>
    <col min="8" max="8" width="10" customWidth="1"/>
    <col min="11" max="12" width="14" customWidth="1"/>
    <col min="13" max="13" width="10" customWidth="1"/>
    <col min="14" max="15" width="14" customWidth="1"/>
    <col min="16" max="16" width="7" customWidth="1"/>
  </cols>
  <sheetData>
    <row r="1" spans="1:16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10</v>
      </c>
      <c r="F1" s="8" t="s">
        <v>73</v>
      </c>
      <c r="G1" s="8" t="s">
        <v>74</v>
      </c>
      <c r="H1" s="8" t="s">
        <v>75</v>
      </c>
      <c r="I1" s="8" t="s">
        <v>76</v>
      </c>
      <c r="J1" s="8" t="s">
        <v>77</v>
      </c>
      <c r="K1" s="8" t="s">
        <v>78</v>
      </c>
      <c r="L1" s="8" t="s">
        <v>79</v>
      </c>
      <c r="M1" s="8" t="s">
        <v>80</v>
      </c>
      <c r="N1" s="8" t="s">
        <v>81</v>
      </c>
      <c r="O1" s="8" t="s">
        <v>82</v>
      </c>
      <c r="P1" s="8" t="s">
        <v>83</v>
      </c>
    </row>
    <row r="2" spans="1:16" x14ac:dyDescent="0.25">
      <c r="A2" s="9" t="s">
        <v>84</v>
      </c>
      <c r="B2" s="12" t="s">
        <v>85</v>
      </c>
      <c r="C2" s="13" t="s">
        <v>86</v>
      </c>
      <c r="D2" s="13" t="s">
        <v>87</v>
      </c>
      <c r="E2" s="9" t="s">
        <v>13</v>
      </c>
      <c r="F2" s="9">
        <f>IFERROR(VLOOKUP(E2,'Release Plan'!$A$5:$C$9,3,FALSE),"")</f>
        <v>4</v>
      </c>
      <c r="G2" s="9" t="s">
        <v>88</v>
      </c>
      <c r="H2" s="9" t="s">
        <v>89</v>
      </c>
      <c r="I2" s="9">
        <v>1</v>
      </c>
      <c r="J2" s="9">
        <v>3</v>
      </c>
      <c r="K2" s="14">
        <f>Summary!$C$4+7*(I2-1)</f>
        <v>46321</v>
      </c>
      <c r="L2" s="14">
        <f>Summary!$C$4+7*(J2-1)+4</f>
        <v>46339</v>
      </c>
      <c r="M2" s="9">
        <v>3</v>
      </c>
      <c r="N2" s="9" t="s">
        <v>90</v>
      </c>
      <c r="O2" s="9" t="s">
        <v>91</v>
      </c>
      <c r="P2" s="9" t="s">
        <v>92</v>
      </c>
    </row>
    <row r="3" spans="1:16" x14ac:dyDescent="0.25">
      <c r="A3" s="9" t="s">
        <v>93</v>
      </c>
      <c r="B3" s="12" t="s">
        <v>85</v>
      </c>
      <c r="C3" s="13" t="s">
        <v>94</v>
      </c>
      <c r="D3" s="13" t="s">
        <v>95</v>
      </c>
      <c r="E3" s="9" t="s">
        <v>13</v>
      </c>
      <c r="F3" s="9">
        <f>IFERROR(VLOOKUP(E3,'Release Plan'!$A$5:$C$9,3,FALSE),"")</f>
        <v>4</v>
      </c>
      <c r="G3" s="9" t="s">
        <v>88</v>
      </c>
      <c r="H3" s="9" t="s">
        <v>89</v>
      </c>
      <c r="I3" s="9">
        <v>1</v>
      </c>
      <c r="J3" s="9">
        <v>3</v>
      </c>
      <c r="K3" s="14">
        <f>Summary!$C$4+7*(I3-1)</f>
        <v>46321</v>
      </c>
      <c r="L3" s="14">
        <f>Summary!$C$4+7*(J3-1)+4</f>
        <v>46339</v>
      </c>
      <c r="M3" s="9">
        <v>1</v>
      </c>
      <c r="N3" s="9" t="s">
        <v>90</v>
      </c>
      <c r="O3" s="9" t="s">
        <v>91</v>
      </c>
      <c r="P3" s="9" t="s">
        <v>92</v>
      </c>
    </row>
    <row r="4" spans="1:16" x14ac:dyDescent="0.25">
      <c r="A4" s="9" t="s">
        <v>96</v>
      </c>
      <c r="B4" s="12" t="s">
        <v>85</v>
      </c>
      <c r="C4" s="13" t="s">
        <v>97</v>
      </c>
      <c r="D4" s="13" t="s">
        <v>98</v>
      </c>
      <c r="E4" s="9" t="s">
        <v>13</v>
      </c>
      <c r="F4" s="9">
        <f>IFERROR(VLOOKUP(E4,'Release Plan'!$A$5:$C$9,3,FALSE),"")</f>
        <v>4</v>
      </c>
      <c r="G4" s="9" t="s">
        <v>88</v>
      </c>
      <c r="H4" s="9" t="s">
        <v>89</v>
      </c>
      <c r="I4" s="9">
        <v>2</v>
      </c>
      <c r="J4" s="9">
        <v>4</v>
      </c>
      <c r="K4" s="14">
        <f>Summary!$C$4+7*(I4-1)</f>
        <v>46328</v>
      </c>
      <c r="L4" s="14">
        <f>Summary!$C$4+7*(J4-1)+4</f>
        <v>46346</v>
      </c>
      <c r="M4" s="9">
        <v>2</v>
      </c>
      <c r="N4" s="9" t="s">
        <v>84</v>
      </c>
      <c r="O4" s="9" t="s">
        <v>91</v>
      </c>
      <c r="P4" s="9" t="s">
        <v>92</v>
      </c>
    </row>
    <row r="5" spans="1:16" x14ac:dyDescent="0.25">
      <c r="A5" s="9" t="s">
        <v>99</v>
      </c>
      <c r="B5" s="12" t="s">
        <v>85</v>
      </c>
      <c r="C5" s="13" t="s">
        <v>100</v>
      </c>
      <c r="D5" s="13" t="s">
        <v>101</v>
      </c>
      <c r="E5" s="9" t="s">
        <v>13</v>
      </c>
      <c r="F5" s="9">
        <f>IFERROR(VLOOKUP(E5,'Release Plan'!$A$5:$C$9,3,FALSE),"")</f>
        <v>4</v>
      </c>
      <c r="G5" s="9" t="s">
        <v>88</v>
      </c>
      <c r="H5" s="9" t="s">
        <v>89</v>
      </c>
      <c r="I5" s="9">
        <v>3</v>
      </c>
      <c r="J5" s="9">
        <v>4</v>
      </c>
      <c r="K5" s="14">
        <f>Summary!$C$4+7*(I5-1)</f>
        <v>46335</v>
      </c>
      <c r="L5" s="14">
        <f>Summary!$C$4+7*(J5-1)+4</f>
        <v>46346</v>
      </c>
      <c r="M5" s="9">
        <v>2</v>
      </c>
      <c r="N5" s="9" t="s">
        <v>84</v>
      </c>
      <c r="O5" s="9" t="s">
        <v>91</v>
      </c>
      <c r="P5" s="9" t="s">
        <v>92</v>
      </c>
    </row>
    <row r="6" spans="1:16" x14ac:dyDescent="0.25">
      <c r="A6" s="9" t="s">
        <v>102</v>
      </c>
      <c r="B6" s="12" t="s">
        <v>85</v>
      </c>
      <c r="C6" s="13" t="s">
        <v>103</v>
      </c>
      <c r="D6" s="13" t="s">
        <v>104</v>
      </c>
      <c r="E6" s="9" t="s">
        <v>15</v>
      </c>
      <c r="F6" s="9">
        <f>IFERROR(VLOOKUP(E6,'Release Plan'!$A$5:$C$9,3,FALSE),"")</f>
        <v>8</v>
      </c>
      <c r="G6" s="9" t="s">
        <v>88</v>
      </c>
      <c r="H6" s="9" t="s">
        <v>89</v>
      </c>
      <c r="I6" s="9">
        <v>4</v>
      </c>
      <c r="J6" s="9">
        <v>6</v>
      </c>
      <c r="K6" s="14">
        <f>Summary!$C$4+7*(I6-1)</f>
        <v>46342</v>
      </c>
      <c r="L6" s="14">
        <f>Summary!$C$4+7*(J6-1)+4</f>
        <v>46360</v>
      </c>
      <c r="M6" s="9">
        <v>3</v>
      </c>
      <c r="N6" s="9" t="s">
        <v>99</v>
      </c>
      <c r="O6" s="9" t="s">
        <v>91</v>
      </c>
      <c r="P6" s="9" t="s">
        <v>92</v>
      </c>
    </row>
    <row r="7" spans="1:16" x14ac:dyDescent="0.25">
      <c r="A7" s="9" t="s">
        <v>105</v>
      </c>
      <c r="B7" s="12" t="s">
        <v>85</v>
      </c>
      <c r="C7" s="13" t="s">
        <v>106</v>
      </c>
      <c r="D7" s="13" t="s">
        <v>107</v>
      </c>
      <c r="E7" s="9" t="s">
        <v>15</v>
      </c>
      <c r="F7" s="9">
        <f>IFERROR(VLOOKUP(E7,'Release Plan'!$A$5:$C$9,3,FALSE),"")</f>
        <v>8</v>
      </c>
      <c r="G7" s="9" t="s">
        <v>88</v>
      </c>
      <c r="H7" s="9" t="s">
        <v>89</v>
      </c>
      <c r="I7" s="9">
        <v>4</v>
      </c>
      <c r="J7" s="9">
        <v>7</v>
      </c>
      <c r="K7" s="14">
        <f>Summary!$C$4+7*(I7-1)</f>
        <v>46342</v>
      </c>
      <c r="L7" s="14">
        <f>Summary!$C$4+7*(J7-1)+4</f>
        <v>46367</v>
      </c>
      <c r="M7" s="9">
        <v>3</v>
      </c>
      <c r="N7" s="9" t="s">
        <v>102</v>
      </c>
      <c r="O7" s="9" t="s">
        <v>91</v>
      </c>
      <c r="P7" s="9" t="s">
        <v>92</v>
      </c>
    </row>
    <row r="8" spans="1:16" x14ac:dyDescent="0.25">
      <c r="A8" s="9" t="s">
        <v>108</v>
      </c>
      <c r="B8" s="12" t="s">
        <v>85</v>
      </c>
      <c r="C8" s="13" t="s">
        <v>109</v>
      </c>
      <c r="D8" s="13" t="s">
        <v>110</v>
      </c>
      <c r="E8" s="9" t="s">
        <v>13</v>
      </c>
      <c r="F8" s="9">
        <f>IFERROR(VLOOKUP(E8,'Release Plan'!$A$5:$C$9,3,FALSE),"")</f>
        <v>4</v>
      </c>
      <c r="G8" s="9" t="s">
        <v>88</v>
      </c>
      <c r="H8" s="9" t="s">
        <v>89</v>
      </c>
      <c r="I8" s="9">
        <v>3</v>
      </c>
      <c r="J8" s="9">
        <v>4</v>
      </c>
      <c r="K8" s="14">
        <f>Summary!$C$4+7*(I8-1)</f>
        <v>46335</v>
      </c>
      <c r="L8" s="14">
        <f>Summary!$C$4+7*(J8-1)+4</f>
        <v>46346</v>
      </c>
      <c r="M8" s="9">
        <v>2</v>
      </c>
      <c r="N8" s="9" t="s">
        <v>84</v>
      </c>
      <c r="O8" s="9" t="s">
        <v>91</v>
      </c>
      <c r="P8" s="9" t="s">
        <v>92</v>
      </c>
    </row>
    <row r="9" spans="1:16" x14ac:dyDescent="0.25">
      <c r="A9" s="9" t="s">
        <v>111</v>
      </c>
      <c r="B9" s="12" t="s">
        <v>85</v>
      </c>
      <c r="C9" s="13" t="s">
        <v>112</v>
      </c>
      <c r="D9" s="13" t="s">
        <v>113</v>
      </c>
      <c r="E9" s="9" t="s">
        <v>15</v>
      </c>
      <c r="F9" s="9">
        <f>IFERROR(VLOOKUP(E9,'Release Plan'!$A$5:$C$9,3,FALSE),"")</f>
        <v>8</v>
      </c>
      <c r="G9" s="9" t="s">
        <v>114</v>
      </c>
      <c r="H9" s="9" t="s">
        <v>89</v>
      </c>
      <c r="I9" s="9">
        <v>6</v>
      </c>
      <c r="J9" s="9">
        <v>8</v>
      </c>
      <c r="K9" s="14">
        <f>Summary!$C$4+7*(I9-1)</f>
        <v>46356</v>
      </c>
      <c r="L9" s="14">
        <f>Summary!$C$4+7*(J9-1)+4</f>
        <v>46374</v>
      </c>
      <c r="M9" s="9">
        <v>2</v>
      </c>
      <c r="N9" s="9" t="s">
        <v>102</v>
      </c>
      <c r="O9" s="9" t="s">
        <v>91</v>
      </c>
      <c r="P9" s="9" t="s">
        <v>92</v>
      </c>
    </row>
    <row r="10" spans="1:16" x14ac:dyDescent="0.25">
      <c r="A10" s="9" t="s">
        <v>115</v>
      </c>
      <c r="B10" s="12" t="s">
        <v>85</v>
      </c>
      <c r="C10" s="13" t="s">
        <v>116</v>
      </c>
      <c r="D10" s="13" t="s">
        <v>117</v>
      </c>
      <c r="E10" s="9" t="s">
        <v>15</v>
      </c>
      <c r="F10" s="9">
        <f>IFERROR(VLOOKUP(E10,'Release Plan'!$A$5:$C$9,3,FALSE),"")</f>
        <v>8</v>
      </c>
      <c r="G10" s="9" t="s">
        <v>88</v>
      </c>
      <c r="H10" s="9" t="s">
        <v>89</v>
      </c>
      <c r="I10" s="9">
        <v>7</v>
      </c>
      <c r="J10" s="9">
        <v>8</v>
      </c>
      <c r="K10" s="14">
        <f>Summary!$C$4+7*(I10-1)</f>
        <v>46363</v>
      </c>
      <c r="L10" s="14">
        <f>Summary!$C$4+7*(J10-1)+4</f>
        <v>46374</v>
      </c>
      <c r="M10" s="9">
        <v>2</v>
      </c>
      <c r="N10" s="9" t="s">
        <v>118</v>
      </c>
      <c r="O10" s="9" t="s">
        <v>91</v>
      </c>
      <c r="P10" s="9" t="s">
        <v>92</v>
      </c>
    </row>
    <row r="11" spans="1:16" x14ac:dyDescent="0.25">
      <c r="A11" s="9" t="s">
        <v>119</v>
      </c>
      <c r="B11" s="12" t="s">
        <v>85</v>
      </c>
      <c r="C11" s="13" t="s">
        <v>120</v>
      </c>
      <c r="D11" s="13" t="s">
        <v>121</v>
      </c>
      <c r="E11" s="9" t="s">
        <v>19</v>
      </c>
      <c r="F11" s="9">
        <f>IFERROR(VLOOKUP(E11,'Release Plan'!$A$5:$C$9,3,FALSE),"")</f>
        <v>20</v>
      </c>
      <c r="G11" s="9" t="s">
        <v>114</v>
      </c>
      <c r="H11" s="9" t="s">
        <v>89</v>
      </c>
      <c r="I11" s="9">
        <v>16</v>
      </c>
      <c r="J11" s="9">
        <v>20</v>
      </c>
      <c r="K11" s="14">
        <f>Summary!$C$4+7*(I11-1)</f>
        <v>46426</v>
      </c>
      <c r="L11" s="14">
        <f>Summary!$C$4+7*(J11-1)+4</f>
        <v>46458</v>
      </c>
      <c r="M11" s="9">
        <v>4</v>
      </c>
      <c r="N11" s="9" t="s">
        <v>115</v>
      </c>
      <c r="O11" s="9" t="s">
        <v>91</v>
      </c>
      <c r="P11" s="9" t="s">
        <v>90</v>
      </c>
    </row>
    <row r="12" spans="1:16" x14ac:dyDescent="0.25">
      <c r="A12" s="9" t="s">
        <v>122</v>
      </c>
      <c r="B12" s="12" t="s">
        <v>85</v>
      </c>
      <c r="C12" s="13" t="s">
        <v>123</v>
      </c>
      <c r="D12" s="13" t="s">
        <v>124</v>
      </c>
      <c r="E12" s="9" t="s">
        <v>21</v>
      </c>
      <c r="F12" s="9">
        <f>IFERROR(VLOOKUP(E12,'Release Plan'!$A$5:$C$9,3,FALSE),"")</f>
        <v>24</v>
      </c>
      <c r="G12" s="9" t="s">
        <v>88</v>
      </c>
      <c r="H12" s="9" t="s">
        <v>89</v>
      </c>
      <c r="I12" s="9">
        <v>20</v>
      </c>
      <c r="J12" s="9">
        <v>23</v>
      </c>
      <c r="K12" s="14">
        <f>Summary!$C$4+7*(I12-1)</f>
        <v>46454</v>
      </c>
      <c r="L12" s="14">
        <f>Summary!$C$4+7*(J12-1)+4</f>
        <v>46479</v>
      </c>
      <c r="M12" s="9">
        <v>4</v>
      </c>
      <c r="N12" s="9" t="s">
        <v>119</v>
      </c>
      <c r="O12" s="9" t="s">
        <v>91</v>
      </c>
      <c r="P12" s="9" t="s">
        <v>90</v>
      </c>
    </row>
    <row r="13" spans="1:16" x14ac:dyDescent="0.25">
      <c r="A13" s="9" t="s">
        <v>125</v>
      </c>
      <c r="B13" s="12" t="s">
        <v>85</v>
      </c>
      <c r="C13" s="13" t="s">
        <v>126</v>
      </c>
      <c r="D13" s="13" t="s">
        <v>127</v>
      </c>
      <c r="E13" s="9" t="s">
        <v>21</v>
      </c>
      <c r="F13" s="9">
        <f>IFERROR(VLOOKUP(E13,'Release Plan'!$A$5:$C$9,3,FALSE),"")</f>
        <v>24</v>
      </c>
      <c r="G13" s="9" t="s">
        <v>88</v>
      </c>
      <c r="H13" s="9" t="s">
        <v>89</v>
      </c>
      <c r="I13" s="9">
        <v>21</v>
      </c>
      <c r="J13" s="9">
        <v>24</v>
      </c>
      <c r="K13" s="14">
        <f>Summary!$C$4+7*(I13-1)</f>
        <v>46461</v>
      </c>
      <c r="L13" s="14">
        <f>Summary!$C$4+7*(J13-1)+4</f>
        <v>46486</v>
      </c>
      <c r="M13" s="9">
        <v>3</v>
      </c>
      <c r="N13" s="9" t="s">
        <v>115</v>
      </c>
      <c r="O13" s="9" t="s">
        <v>91</v>
      </c>
      <c r="P13" s="9" t="s">
        <v>90</v>
      </c>
    </row>
    <row r="14" spans="1:16" x14ac:dyDescent="0.25">
      <c r="A14" s="15" t="s">
        <v>128</v>
      </c>
      <c r="B14" s="16" t="s">
        <v>129</v>
      </c>
      <c r="C14" s="17" t="s">
        <v>130</v>
      </c>
      <c r="D14" s="17" t="s">
        <v>131</v>
      </c>
      <c r="E14" s="15" t="s">
        <v>132</v>
      </c>
      <c r="G14" s="15" t="s">
        <v>88</v>
      </c>
      <c r="H14" s="15" t="s">
        <v>133</v>
      </c>
      <c r="M14" s="15">
        <v>0</v>
      </c>
      <c r="N14" s="15" t="s">
        <v>90</v>
      </c>
      <c r="O14" s="15" t="s">
        <v>91</v>
      </c>
      <c r="P14" s="15" t="s">
        <v>90</v>
      </c>
    </row>
    <row r="15" spans="1:16" x14ac:dyDescent="0.25">
      <c r="A15" s="9" t="s">
        <v>134</v>
      </c>
      <c r="B15" s="18" t="s">
        <v>129</v>
      </c>
      <c r="C15" s="13" t="s">
        <v>135</v>
      </c>
      <c r="D15" s="13" t="s">
        <v>136</v>
      </c>
      <c r="E15" s="9" t="s">
        <v>15</v>
      </c>
      <c r="F15" s="9">
        <f>IFERROR(VLOOKUP(E15,'Release Plan'!$A$5:$C$9,3,FALSE),"")</f>
        <v>8</v>
      </c>
      <c r="G15" s="9" t="s">
        <v>88</v>
      </c>
      <c r="H15" s="9" t="s">
        <v>89</v>
      </c>
      <c r="I15" s="9">
        <v>5</v>
      </c>
      <c r="J15" s="9">
        <v>7</v>
      </c>
      <c r="K15" s="14">
        <f>Summary!$C$4+7*(I15-1)</f>
        <v>46349</v>
      </c>
      <c r="L15" s="14">
        <f>Summary!$C$4+7*(J15-1)+4</f>
        <v>46367</v>
      </c>
      <c r="M15" s="9">
        <v>2</v>
      </c>
      <c r="N15" s="9" t="s">
        <v>137</v>
      </c>
      <c r="O15" s="9" t="s">
        <v>91</v>
      </c>
      <c r="P15" s="9" t="s">
        <v>92</v>
      </c>
    </row>
    <row r="16" spans="1:16" x14ac:dyDescent="0.25">
      <c r="A16" s="9" t="s">
        <v>138</v>
      </c>
      <c r="B16" s="18" t="s">
        <v>129</v>
      </c>
      <c r="C16" s="13" t="s">
        <v>139</v>
      </c>
      <c r="D16" s="13" t="s">
        <v>140</v>
      </c>
      <c r="E16" s="9" t="s">
        <v>15</v>
      </c>
      <c r="F16" s="9">
        <f>IFERROR(VLOOKUP(E16,'Release Plan'!$A$5:$C$9,3,FALSE),"")</f>
        <v>8</v>
      </c>
      <c r="G16" s="9" t="s">
        <v>88</v>
      </c>
      <c r="H16" s="9" t="s">
        <v>89</v>
      </c>
      <c r="I16" s="9">
        <v>5</v>
      </c>
      <c r="J16" s="9">
        <v>8</v>
      </c>
      <c r="K16" s="14">
        <f>Summary!$C$4+7*(I16-1)</f>
        <v>46349</v>
      </c>
      <c r="L16" s="14">
        <f>Summary!$C$4+7*(J16-1)+4</f>
        <v>46374</v>
      </c>
      <c r="M16" s="9">
        <v>3</v>
      </c>
      <c r="N16" s="9" t="s">
        <v>141</v>
      </c>
      <c r="O16" s="9" t="s">
        <v>91</v>
      </c>
      <c r="P16" s="9" t="s">
        <v>92</v>
      </c>
    </row>
    <row r="17" spans="1:16" x14ac:dyDescent="0.25">
      <c r="A17" s="9" t="s">
        <v>142</v>
      </c>
      <c r="B17" s="18" t="s">
        <v>129</v>
      </c>
      <c r="C17" s="13" t="s">
        <v>143</v>
      </c>
      <c r="D17" s="13" t="s">
        <v>144</v>
      </c>
      <c r="E17" s="9" t="s">
        <v>17</v>
      </c>
      <c r="F17" s="9">
        <f>IFERROR(VLOOKUP(E17,'Release Plan'!$A$5:$C$9,3,FALSE),"")</f>
        <v>14</v>
      </c>
      <c r="G17" s="9" t="s">
        <v>88</v>
      </c>
      <c r="H17" s="9" t="s">
        <v>89</v>
      </c>
      <c r="I17" s="9">
        <v>9</v>
      </c>
      <c r="J17" s="9">
        <v>12</v>
      </c>
      <c r="K17" s="14">
        <f>Summary!$C$4+7*(I17-1)</f>
        <v>46377</v>
      </c>
      <c r="L17" s="14">
        <f>Summary!$C$4+7*(J17-1)+4</f>
        <v>46402</v>
      </c>
      <c r="M17" s="9">
        <v>2</v>
      </c>
      <c r="N17" s="9" t="s">
        <v>134</v>
      </c>
      <c r="O17" s="9" t="s">
        <v>91</v>
      </c>
      <c r="P17" s="9" t="s">
        <v>90</v>
      </c>
    </row>
    <row r="18" spans="1:16" x14ac:dyDescent="0.25">
      <c r="A18" s="9" t="s">
        <v>145</v>
      </c>
      <c r="B18" s="18" t="s">
        <v>129</v>
      </c>
      <c r="C18" s="13" t="s">
        <v>146</v>
      </c>
      <c r="D18" s="13" t="s">
        <v>147</v>
      </c>
      <c r="E18" s="9" t="s">
        <v>17</v>
      </c>
      <c r="F18" s="9">
        <f>IFERROR(VLOOKUP(E18,'Release Plan'!$A$5:$C$9,3,FALSE),"")</f>
        <v>14</v>
      </c>
      <c r="G18" s="9" t="s">
        <v>114</v>
      </c>
      <c r="H18" s="9" t="s">
        <v>89</v>
      </c>
      <c r="I18" s="9">
        <v>10</v>
      </c>
      <c r="J18" s="9">
        <v>13</v>
      </c>
      <c r="K18" s="14">
        <f>Summary!$C$4+7*(I18-1)</f>
        <v>46384</v>
      </c>
      <c r="L18" s="14">
        <f>Summary!$C$4+7*(J18-1)+4</f>
        <v>46409</v>
      </c>
      <c r="M18" s="9">
        <v>2</v>
      </c>
      <c r="N18" s="9" t="s">
        <v>134</v>
      </c>
      <c r="O18" s="9" t="s">
        <v>91</v>
      </c>
      <c r="P18" s="9" t="s">
        <v>90</v>
      </c>
    </row>
    <row r="19" spans="1:16" x14ac:dyDescent="0.25">
      <c r="A19" s="9" t="s">
        <v>148</v>
      </c>
      <c r="B19" s="18" t="s">
        <v>129</v>
      </c>
      <c r="C19" s="13" t="s">
        <v>149</v>
      </c>
      <c r="D19" s="13" t="s">
        <v>150</v>
      </c>
      <c r="E19" s="9" t="s">
        <v>17</v>
      </c>
      <c r="F19" s="9">
        <f>IFERROR(VLOOKUP(E19,'Release Plan'!$A$5:$C$9,3,FALSE),"")</f>
        <v>14</v>
      </c>
      <c r="G19" s="9" t="s">
        <v>88</v>
      </c>
      <c r="H19" s="9" t="s">
        <v>89</v>
      </c>
      <c r="I19" s="9">
        <v>11</v>
      </c>
      <c r="J19" s="9">
        <v>14</v>
      </c>
      <c r="K19" s="14">
        <f>Summary!$C$4+7*(I19-1)</f>
        <v>46391</v>
      </c>
      <c r="L19" s="14">
        <f>Summary!$C$4+7*(J19-1)+4</f>
        <v>46416</v>
      </c>
      <c r="M19" s="9">
        <v>4</v>
      </c>
      <c r="N19" s="9" t="s">
        <v>151</v>
      </c>
      <c r="O19" s="9" t="s">
        <v>91</v>
      </c>
      <c r="P19" s="9" t="s">
        <v>90</v>
      </c>
    </row>
    <row r="20" spans="1:16" x14ac:dyDescent="0.25">
      <c r="A20" s="9" t="s">
        <v>152</v>
      </c>
      <c r="B20" s="18" t="s">
        <v>129</v>
      </c>
      <c r="C20" s="13" t="s">
        <v>153</v>
      </c>
      <c r="D20" s="13" t="s">
        <v>154</v>
      </c>
      <c r="E20" s="9" t="s">
        <v>19</v>
      </c>
      <c r="F20" s="9">
        <f>IFERROR(VLOOKUP(E20,'Release Plan'!$A$5:$C$9,3,FALSE),"")</f>
        <v>20</v>
      </c>
      <c r="G20" s="9" t="s">
        <v>155</v>
      </c>
      <c r="H20" s="9" t="s">
        <v>89</v>
      </c>
      <c r="I20" s="9">
        <v>17</v>
      </c>
      <c r="J20" s="9">
        <v>19</v>
      </c>
      <c r="K20" s="14">
        <f>Summary!$C$4+7*(I20-1)</f>
        <v>46433</v>
      </c>
      <c r="L20" s="14">
        <f>Summary!$C$4+7*(J20-1)+4</f>
        <v>46451</v>
      </c>
      <c r="M20" s="9">
        <v>1</v>
      </c>
      <c r="N20" s="9" t="s">
        <v>134</v>
      </c>
      <c r="O20" s="9" t="s">
        <v>91</v>
      </c>
      <c r="P20" s="9" t="s">
        <v>90</v>
      </c>
    </row>
    <row r="21" spans="1:16" x14ac:dyDescent="0.25">
      <c r="A21" s="9" t="s">
        <v>156</v>
      </c>
      <c r="B21" s="18" t="s">
        <v>129</v>
      </c>
      <c r="C21" s="13" t="s">
        <v>157</v>
      </c>
      <c r="D21" s="13" t="s">
        <v>158</v>
      </c>
      <c r="E21" s="9" t="s">
        <v>17</v>
      </c>
      <c r="F21" s="9">
        <f>IFERROR(VLOOKUP(E21,'Release Plan'!$A$5:$C$9,3,FALSE),"")</f>
        <v>14</v>
      </c>
      <c r="G21" s="9" t="s">
        <v>114</v>
      </c>
      <c r="H21" s="9" t="s">
        <v>89</v>
      </c>
      <c r="I21" s="9">
        <v>9</v>
      </c>
      <c r="J21" s="9">
        <v>11</v>
      </c>
      <c r="K21" s="14">
        <f>Summary!$C$4+7*(I21-1)</f>
        <v>46377</v>
      </c>
      <c r="L21" s="14">
        <f>Summary!$C$4+7*(J21-1)+4</f>
        <v>46395</v>
      </c>
      <c r="M21" s="9">
        <v>2</v>
      </c>
      <c r="N21" s="9" t="s">
        <v>134</v>
      </c>
      <c r="O21" s="9" t="s">
        <v>91</v>
      </c>
      <c r="P21" s="9" t="s">
        <v>90</v>
      </c>
    </row>
    <row r="22" spans="1:16" x14ac:dyDescent="0.25">
      <c r="A22" s="9" t="s">
        <v>151</v>
      </c>
      <c r="B22" s="18" t="s">
        <v>129</v>
      </c>
      <c r="C22" s="13" t="s">
        <v>159</v>
      </c>
      <c r="D22" s="13" t="s">
        <v>160</v>
      </c>
      <c r="E22" s="9" t="s">
        <v>15</v>
      </c>
      <c r="F22" s="9">
        <f>IFERROR(VLOOKUP(E22,'Release Plan'!$A$5:$C$9,3,FALSE),"")</f>
        <v>8</v>
      </c>
      <c r="G22" s="9" t="s">
        <v>88</v>
      </c>
      <c r="H22" s="9" t="s">
        <v>89</v>
      </c>
      <c r="I22" s="9">
        <v>6</v>
      </c>
      <c r="J22" s="9">
        <v>8</v>
      </c>
      <c r="K22" s="14">
        <f>Summary!$C$4+7*(I22-1)</f>
        <v>46356</v>
      </c>
      <c r="L22" s="14">
        <f>Summary!$C$4+7*(J22-1)+4</f>
        <v>46374</v>
      </c>
      <c r="M22" s="9">
        <v>2</v>
      </c>
      <c r="N22" s="9" t="s">
        <v>138</v>
      </c>
      <c r="O22" s="9" t="s">
        <v>91</v>
      </c>
      <c r="P22" s="9" t="s">
        <v>92</v>
      </c>
    </row>
    <row r="23" spans="1:16" x14ac:dyDescent="0.25">
      <c r="A23" s="15" t="s">
        <v>161</v>
      </c>
      <c r="B23" s="19" t="s">
        <v>162</v>
      </c>
      <c r="C23" s="17" t="s">
        <v>163</v>
      </c>
      <c r="D23" s="17" t="s">
        <v>164</v>
      </c>
      <c r="E23" s="15" t="s">
        <v>132</v>
      </c>
      <c r="G23" s="15" t="s">
        <v>88</v>
      </c>
      <c r="H23" s="15" t="s">
        <v>133</v>
      </c>
      <c r="M23" s="15">
        <v>0</v>
      </c>
      <c r="N23" s="15" t="s">
        <v>90</v>
      </c>
      <c r="O23" s="15" t="s">
        <v>91</v>
      </c>
      <c r="P23" s="15" t="s">
        <v>90</v>
      </c>
    </row>
    <row r="24" spans="1:16" x14ac:dyDescent="0.25">
      <c r="A24" s="9" t="s">
        <v>165</v>
      </c>
      <c r="B24" s="20" t="s">
        <v>162</v>
      </c>
      <c r="C24" s="13" t="s">
        <v>166</v>
      </c>
      <c r="D24" s="13" t="s">
        <v>167</v>
      </c>
      <c r="E24" s="9" t="s">
        <v>15</v>
      </c>
      <c r="F24" s="9">
        <f>IFERROR(VLOOKUP(E24,'Release Plan'!$A$5:$C$9,3,FALSE),"")</f>
        <v>8</v>
      </c>
      <c r="G24" s="9" t="s">
        <v>88</v>
      </c>
      <c r="H24" s="9" t="s">
        <v>89</v>
      </c>
      <c r="I24" s="9">
        <v>3</v>
      </c>
      <c r="J24" s="9">
        <v>5</v>
      </c>
      <c r="K24" s="14">
        <f>Summary!$C$4+7*(I24-1)</f>
        <v>46335</v>
      </c>
      <c r="L24" s="14">
        <f>Summary!$C$4+7*(J24-1)+4</f>
        <v>46353</v>
      </c>
      <c r="M24" s="9">
        <v>2</v>
      </c>
      <c r="N24" s="9" t="s">
        <v>90</v>
      </c>
      <c r="O24" s="9" t="s">
        <v>91</v>
      </c>
      <c r="P24" s="9" t="s">
        <v>92</v>
      </c>
    </row>
    <row r="25" spans="1:16" x14ac:dyDescent="0.25">
      <c r="A25" s="9" t="s">
        <v>168</v>
      </c>
      <c r="B25" s="20" t="s">
        <v>162</v>
      </c>
      <c r="C25" s="13" t="s">
        <v>169</v>
      </c>
      <c r="D25" s="13" t="s">
        <v>170</v>
      </c>
      <c r="E25" s="9" t="s">
        <v>15</v>
      </c>
      <c r="F25" s="9">
        <f>IFERROR(VLOOKUP(E25,'Release Plan'!$A$5:$C$9,3,FALSE),"")</f>
        <v>8</v>
      </c>
      <c r="G25" s="9" t="s">
        <v>88</v>
      </c>
      <c r="H25" s="9" t="s">
        <v>89</v>
      </c>
      <c r="I25" s="9">
        <v>5</v>
      </c>
      <c r="J25" s="9">
        <v>6</v>
      </c>
      <c r="K25" s="14">
        <f>Summary!$C$4+7*(I25-1)</f>
        <v>46349</v>
      </c>
      <c r="L25" s="14">
        <f>Summary!$C$4+7*(J25-1)+4</f>
        <v>46360</v>
      </c>
      <c r="M25" s="9">
        <v>1</v>
      </c>
      <c r="N25" s="9" t="s">
        <v>171</v>
      </c>
      <c r="O25" s="9" t="s">
        <v>91</v>
      </c>
      <c r="P25" s="9" t="s">
        <v>92</v>
      </c>
    </row>
    <row r="26" spans="1:16" x14ac:dyDescent="0.25">
      <c r="A26" s="9" t="s">
        <v>172</v>
      </c>
      <c r="B26" s="20" t="s">
        <v>162</v>
      </c>
      <c r="C26" s="13" t="s">
        <v>173</v>
      </c>
      <c r="D26" s="13" t="s">
        <v>174</v>
      </c>
      <c r="E26" s="9" t="s">
        <v>17</v>
      </c>
      <c r="F26" s="9">
        <f>IFERROR(VLOOKUP(E26,'Release Plan'!$A$5:$C$9,3,FALSE),"")</f>
        <v>14</v>
      </c>
      <c r="G26" s="9" t="s">
        <v>88</v>
      </c>
      <c r="H26" s="9" t="s">
        <v>89</v>
      </c>
      <c r="I26" s="9">
        <v>12</v>
      </c>
      <c r="J26" s="9">
        <v>14</v>
      </c>
      <c r="K26" s="14">
        <f>Summary!$C$4+7*(I26-1)</f>
        <v>46398</v>
      </c>
      <c r="L26" s="14">
        <f>Summary!$C$4+7*(J26-1)+4</f>
        <v>46416</v>
      </c>
      <c r="M26" s="9">
        <v>3</v>
      </c>
      <c r="N26" s="9" t="s">
        <v>175</v>
      </c>
      <c r="O26" s="9" t="s">
        <v>91</v>
      </c>
      <c r="P26" s="9" t="s">
        <v>90</v>
      </c>
    </row>
    <row r="27" spans="1:16" x14ac:dyDescent="0.25">
      <c r="A27" s="9" t="s">
        <v>176</v>
      </c>
      <c r="B27" s="20" t="s">
        <v>162</v>
      </c>
      <c r="C27" s="13" t="s">
        <v>177</v>
      </c>
      <c r="D27" s="13" t="s">
        <v>178</v>
      </c>
      <c r="E27" s="9" t="s">
        <v>17</v>
      </c>
      <c r="F27" s="9">
        <f>IFERROR(VLOOKUP(E27,'Release Plan'!$A$5:$C$9,3,FALSE),"")</f>
        <v>14</v>
      </c>
      <c r="G27" s="9" t="s">
        <v>114</v>
      </c>
      <c r="H27" s="9" t="s">
        <v>89</v>
      </c>
      <c r="I27" s="9">
        <v>13</v>
      </c>
      <c r="J27" s="9">
        <v>14</v>
      </c>
      <c r="K27" s="14">
        <f>Summary!$C$4+7*(I27-1)</f>
        <v>46405</v>
      </c>
      <c r="L27" s="14">
        <f>Summary!$C$4+7*(J27-1)+4</f>
        <v>46416</v>
      </c>
      <c r="M27" s="9">
        <v>2</v>
      </c>
      <c r="N27" s="9" t="s">
        <v>165</v>
      </c>
      <c r="O27" s="9" t="s">
        <v>91</v>
      </c>
      <c r="P27" s="9" t="s">
        <v>90</v>
      </c>
    </row>
    <row r="28" spans="1:16" x14ac:dyDescent="0.25">
      <c r="A28" s="15" t="s">
        <v>179</v>
      </c>
      <c r="B28" s="21" t="s">
        <v>180</v>
      </c>
      <c r="C28" s="17" t="s">
        <v>181</v>
      </c>
      <c r="D28" s="17" t="s">
        <v>182</v>
      </c>
      <c r="E28" s="15" t="s">
        <v>132</v>
      </c>
      <c r="G28" s="15" t="s">
        <v>88</v>
      </c>
      <c r="H28" s="15" t="s">
        <v>133</v>
      </c>
      <c r="M28" s="15">
        <v>0</v>
      </c>
      <c r="N28" s="15" t="s">
        <v>90</v>
      </c>
      <c r="O28" s="15" t="s">
        <v>91</v>
      </c>
      <c r="P28" s="15" t="s">
        <v>90</v>
      </c>
    </row>
    <row r="29" spans="1:16" x14ac:dyDescent="0.25">
      <c r="A29" s="15" t="s">
        <v>183</v>
      </c>
      <c r="B29" s="21" t="s">
        <v>180</v>
      </c>
      <c r="C29" s="17" t="s">
        <v>184</v>
      </c>
      <c r="D29" s="17" t="s">
        <v>185</v>
      </c>
      <c r="E29" s="15" t="s">
        <v>132</v>
      </c>
      <c r="G29" s="15" t="s">
        <v>88</v>
      </c>
      <c r="H29" s="15" t="s">
        <v>133</v>
      </c>
      <c r="M29" s="15">
        <v>0</v>
      </c>
      <c r="N29" s="15" t="s">
        <v>90</v>
      </c>
      <c r="O29" s="15" t="s">
        <v>91</v>
      </c>
      <c r="P29" s="15" t="s">
        <v>90</v>
      </c>
    </row>
    <row r="30" spans="1:16" x14ac:dyDescent="0.25">
      <c r="A30" s="15" t="s">
        <v>186</v>
      </c>
      <c r="B30" s="21" t="s">
        <v>180</v>
      </c>
      <c r="C30" s="17" t="s">
        <v>187</v>
      </c>
      <c r="D30" s="17" t="s">
        <v>188</v>
      </c>
      <c r="E30" s="15" t="s">
        <v>132</v>
      </c>
      <c r="G30" s="15" t="s">
        <v>114</v>
      </c>
      <c r="H30" s="15" t="s">
        <v>133</v>
      </c>
      <c r="M30" s="15">
        <v>0</v>
      </c>
      <c r="N30" s="15" t="s">
        <v>90</v>
      </c>
      <c r="O30" s="15" t="s">
        <v>91</v>
      </c>
      <c r="P30" s="15" t="s">
        <v>90</v>
      </c>
    </row>
    <row r="31" spans="1:16" x14ac:dyDescent="0.25">
      <c r="A31" s="15" t="s">
        <v>189</v>
      </c>
      <c r="B31" s="21" t="s">
        <v>180</v>
      </c>
      <c r="C31" s="17" t="s">
        <v>190</v>
      </c>
      <c r="D31" s="17" t="s">
        <v>191</v>
      </c>
      <c r="E31" s="15" t="s">
        <v>132</v>
      </c>
      <c r="G31" s="15" t="s">
        <v>114</v>
      </c>
      <c r="H31" s="15" t="s">
        <v>133</v>
      </c>
      <c r="M31" s="15">
        <v>0</v>
      </c>
      <c r="N31" s="15" t="s">
        <v>90</v>
      </c>
      <c r="O31" s="15" t="s">
        <v>91</v>
      </c>
      <c r="P31" s="15" t="s">
        <v>90</v>
      </c>
    </row>
    <row r="32" spans="1:16" x14ac:dyDescent="0.25">
      <c r="A32" s="9" t="s">
        <v>192</v>
      </c>
      <c r="B32" s="22" t="s">
        <v>180</v>
      </c>
      <c r="C32" s="13" t="s">
        <v>193</v>
      </c>
      <c r="D32" s="13" t="s">
        <v>194</v>
      </c>
      <c r="E32" s="9" t="s">
        <v>17</v>
      </c>
      <c r="F32" s="9">
        <f>IFERROR(VLOOKUP(E32,'Release Plan'!$A$5:$C$9,3,FALSE),"")</f>
        <v>14</v>
      </c>
      <c r="G32" s="9" t="s">
        <v>88</v>
      </c>
      <c r="H32" s="9" t="s">
        <v>89</v>
      </c>
      <c r="I32" s="9">
        <v>9</v>
      </c>
      <c r="J32" s="9">
        <v>14</v>
      </c>
      <c r="K32" s="14">
        <f>Summary!$C$4+7*(I32-1)</f>
        <v>46377</v>
      </c>
      <c r="L32" s="14">
        <f>Summary!$C$4+7*(J32-1)+4</f>
        <v>46416</v>
      </c>
      <c r="M32" s="9">
        <v>6</v>
      </c>
      <c r="N32" s="9" t="s">
        <v>195</v>
      </c>
      <c r="O32" s="9" t="s">
        <v>91</v>
      </c>
      <c r="P32" s="9" t="s">
        <v>90</v>
      </c>
    </row>
    <row r="33" spans="1:16" x14ac:dyDescent="0.25">
      <c r="A33" s="9" t="s">
        <v>196</v>
      </c>
      <c r="B33" s="22" t="s">
        <v>180</v>
      </c>
      <c r="C33" s="13" t="s">
        <v>197</v>
      </c>
      <c r="D33" s="13" t="s">
        <v>198</v>
      </c>
      <c r="E33" s="9" t="s">
        <v>15</v>
      </c>
      <c r="F33" s="9">
        <f>IFERROR(VLOOKUP(E33,'Release Plan'!$A$5:$C$9,3,FALSE),"")</f>
        <v>8</v>
      </c>
      <c r="G33" s="9" t="s">
        <v>88</v>
      </c>
      <c r="H33" s="9" t="s">
        <v>89</v>
      </c>
      <c r="I33" s="9">
        <v>4</v>
      </c>
      <c r="J33" s="9">
        <v>7</v>
      </c>
      <c r="K33" s="14">
        <f>Summary!$C$4+7*(I33-1)</f>
        <v>46342</v>
      </c>
      <c r="L33" s="14">
        <f>Summary!$C$4+7*(J33-1)+4</f>
        <v>46367</v>
      </c>
      <c r="M33" s="9">
        <v>3</v>
      </c>
      <c r="N33" s="9" t="s">
        <v>199</v>
      </c>
      <c r="O33" s="9" t="s">
        <v>91</v>
      </c>
      <c r="P33" s="9" t="s">
        <v>92</v>
      </c>
    </row>
    <row r="34" spans="1:16" x14ac:dyDescent="0.25">
      <c r="A34" s="9" t="s">
        <v>200</v>
      </c>
      <c r="B34" s="22" t="s">
        <v>180</v>
      </c>
      <c r="C34" s="13" t="s">
        <v>201</v>
      </c>
      <c r="D34" s="13" t="s">
        <v>202</v>
      </c>
      <c r="E34" s="9" t="s">
        <v>17</v>
      </c>
      <c r="F34" s="9">
        <f>IFERROR(VLOOKUP(E34,'Release Plan'!$A$5:$C$9,3,FALSE),"")</f>
        <v>14</v>
      </c>
      <c r="G34" s="9" t="s">
        <v>88</v>
      </c>
      <c r="H34" s="9" t="s">
        <v>89</v>
      </c>
      <c r="I34" s="9">
        <v>9</v>
      </c>
      <c r="J34" s="9">
        <v>13</v>
      </c>
      <c r="K34" s="14">
        <f>Summary!$C$4+7*(I34-1)</f>
        <v>46377</v>
      </c>
      <c r="L34" s="14">
        <f>Summary!$C$4+7*(J34-1)+4</f>
        <v>46409</v>
      </c>
      <c r="M34" s="9">
        <v>4</v>
      </c>
      <c r="N34" s="9" t="s">
        <v>203</v>
      </c>
      <c r="O34" s="9" t="s">
        <v>91</v>
      </c>
      <c r="P34" s="9" t="s">
        <v>90</v>
      </c>
    </row>
    <row r="35" spans="1:16" x14ac:dyDescent="0.25">
      <c r="A35" s="9" t="s">
        <v>204</v>
      </c>
      <c r="B35" s="22" t="s">
        <v>180</v>
      </c>
      <c r="C35" s="13" t="s">
        <v>205</v>
      </c>
      <c r="D35" s="13" t="s">
        <v>206</v>
      </c>
      <c r="E35" s="9" t="s">
        <v>17</v>
      </c>
      <c r="F35" s="9">
        <f>IFERROR(VLOOKUP(E35,'Release Plan'!$A$5:$C$9,3,FALSE),"")</f>
        <v>14</v>
      </c>
      <c r="G35" s="9" t="s">
        <v>114</v>
      </c>
      <c r="H35" s="9" t="s">
        <v>89</v>
      </c>
      <c r="I35" s="9">
        <v>12</v>
      </c>
      <c r="J35" s="9">
        <v>14</v>
      </c>
      <c r="K35" s="14">
        <f>Summary!$C$4+7*(I35-1)</f>
        <v>46398</v>
      </c>
      <c r="L35" s="14">
        <f>Summary!$C$4+7*(J35-1)+4</f>
        <v>46416</v>
      </c>
      <c r="M35" s="9">
        <v>2</v>
      </c>
      <c r="N35" s="9" t="s">
        <v>200</v>
      </c>
      <c r="O35" s="9" t="s">
        <v>91</v>
      </c>
      <c r="P35" s="9" t="s">
        <v>90</v>
      </c>
    </row>
    <row r="36" spans="1:16" x14ac:dyDescent="0.25">
      <c r="A36" s="9" t="s">
        <v>207</v>
      </c>
      <c r="B36" s="22" t="s">
        <v>180</v>
      </c>
      <c r="C36" s="13" t="s">
        <v>208</v>
      </c>
      <c r="D36" s="13" t="s">
        <v>209</v>
      </c>
      <c r="E36" s="9" t="s">
        <v>19</v>
      </c>
      <c r="F36" s="9">
        <f>IFERROR(VLOOKUP(E36,'Release Plan'!$A$5:$C$9,3,FALSE),"")</f>
        <v>20</v>
      </c>
      <c r="G36" s="9" t="s">
        <v>114</v>
      </c>
      <c r="H36" s="9" t="s">
        <v>89</v>
      </c>
      <c r="I36" s="9">
        <v>15</v>
      </c>
      <c r="J36" s="9">
        <v>20</v>
      </c>
      <c r="K36" s="14">
        <f>Summary!$C$4+7*(I36-1)</f>
        <v>46419</v>
      </c>
      <c r="L36" s="14">
        <f>Summary!$C$4+7*(J36-1)+4</f>
        <v>46458</v>
      </c>
      <c r="M36" s="9">
        <v>6</v>
      </c>
      <c r="N36" s="9" t="s">
        <v>192</v>
      </c>
      <c r="O36" s="9" t="s">
        <v>91</v>
      </c>
      <c r="P36" s="9" t="s">
        <v>90</v>
      </c>
    </row>
    <row r="37" spans="1:16" x14ac:dyDescent="0.25">
      <c r="A37" s="9" t="s">
        <v>210</v>
      </c>
      <c r="B37" s="22" t="s">
        <v>180</v>
      </c>
      <c r="C37" s="13" t="s">
        <v>211</v>
      </c>
      <c r="D37" s="13" t="s">
        <v>212</v>
      </c>
      <c r="E37" s="9" t="s">
        <v>19</v>
      </c>
      <c r="F37" s="9">
        <f>IFERROR(VLOOKUP(E37,'Release Plan'!$A$5:$C$9,3,FALSE),"")</f>
        <v>20</v>
      </c>
      <c r="G37" s="9" t="s">
        <v>114</v>
      </c>
      <c r="H37" s="9" t="s">
        <v>89</v>
      </c>
      <c r="I37" s="9">
        <v>14</v>
      </c>
      <c r="J37" s="9">
        <v>17</v>
      </c>
      <c r="K37" s="14">
        <f>Summary!$C$4+7*(I37-1)</f>
        <v>46412</v>
      </c>
      <c r="L37" s="14">
        <f>Summary!$C$4+7*(J37-1)+4</f>
        <v>46437</v>
      </c>
      <c r="M37" s="9">
        <v>3</v>
      </c>
      <c r="N37" s="9" t="s">
        <v>196</v>
      </c>
      <c r="O37" s="9" t="s">
        <v>91</v>
      </c>
      <c r="P37" s="9" t="s">
        <v>90</v>
      </c>
    </row>
    <row r="38" spans="1:16" x14ac:dyDescent="0.25">
      <c r="A38" s="9" t="s">
        <v>213</v>
      </c>
      <c r="B38" s="22" t="s">
        <v>180</v>
      </c>
      <c r="C38" s="13" t="s">
        <v>214</v>
      </c>
      <c r="D38" s="13" t="s">
        <v>215</v>
      </c>
      <c r="E38" s="9" t="s">
        <v>19</v>
      </c>
      <c r="F38" s="9">
        <f>IFERROR(VLOOKUP(E38,'Release Plan'!$A$5:$C$9,3,FALSE),"")</f>
        <v>20</v>
      </c>
      <c r="G38" s="9" t="s">
        <v>114</v>
      </c>
      <c r="H38" s="9" t="s">
        <v>89</v>
      </c>
      <c r="I38" s="9">
        <v>16</v>
      </c>
      <c r="J38" s="9">
        <v>19</v>
      </c>
      <c r="K38" s="14">
        <f>Summary!$C$4+7*(I38-1)</f>
        <v>46426</v>
      </c>
      <c r="L38" s="14">
        <f>Summary!$C$4+7*(J38-1)+4</f>
        <v>46451</v>
      </c>
      <c r="M38" s="9">
        <v>3</v>
      </c>
      <c r="N38" s="9" t="s">
        <v>151</v>
      </c>
      <c r="O38" s="9" t="s">
        <v>91</v>
      </c>
      <c r="P38" s="9" t="s">
        <v>90</v>
      </c>
    </row>
    <row r="39" spans="1:16" x14ac:dyDescent="0.25">
      <c r="A39" s="9" t="s">
        <v>216</v>
      </c>
      <c r="B39" s="23" t="s">
        <v>217</v>
      </c>
      <c r="C39" s="13" t="s">
        <v>218</v>
      </c>
      <c r="D39" s="13" t="s">
        <v>219</v>
      </c>
      <c r="E39" s="9" t="s">
        <v>17</v>
      </c>
      <c r="F39" s="9">
        <f>IFERROR(VLOOKUP(E39,'Release Plan'!$A$5:$C$9,3,FALSE),"")</f>
        <v>14</v>
      </c>
      <c r="G39" s="9" t="s">
        <v>88</v>
      </c>
      <c r="H39" s="9" t="s">
        <v>89</v>
      </c>
      <c r="I39" s="9">
        <v>8</v>
      </c>
      <c r="J39" s="9">
        <v>10</v>
      </c>
      <c r="K39" s="14">
        <f>Summary!$C$4+7*(I39-1)</f>
        <v>46370</v>
      </c>
      <c r="L39" s="14">
        <f>Summary!$C$4+7*(J39-1)+4</f>
        <v>46388</v>
      </c>
      <c r="M39" s="9">
        <v>2</v>
      </c>
      <c r="N39" s="9" t="s">
        <v>105</v>
      </c>
      <c r="O39" s="9" t="s">
        <v>91</v>
      </c>
      <c r="P39" s="9" t="s">
        <v>90</v>
      </c>
    </row>
    <row r="40" spans="1:16" x14ac:dyDescent="0.25">
      <c r="A40" s="9" t="s">
        <v>175</v>
      </c>
      <c r="B40" s="23" t="s">
        <v>217</v>
      </c>
      <c r="C40" s="13" t="s">
        <v>220</v>
      </c>
      <c r="D40" s="13" t="s">
        <v>221</v>
      </c>
      <c r="E40" s="9" t="s">
        <v>17</v>
      </c>
      <c r="F40" s="9">
        <f>IFERROR(VLOOKUP(E40,'Release Plan'!$A$5:$C$9,3,FALSE),"")</f>
        <v>14</v>
      </c>
      <c r="G40" s="9" t="s">
        <v>88</v>
      </c>
      <c r="H40" s="9" t="s">
        <v>89</v>
      </c>
      <c r="I40" s="9">
        <v>10</v>
      </c>
      <c r="J40" s="9">
        <v>13</v>
      </c>
      <c r="K40" s="14">
        <f>Summary!$C$4+7*(I40-1)</f>
        <v>46384</v>
      </c>
      <c r="L40" s="14">
        <f>Summary!$C$4+7*(J40-1)+4</f>
        <v>46409</v>
      </c>
      <c r="M40" s="9">
        <v>3</v>
      </c>
      <c r="N40" s="9" t="s">
        <v>216</v>
      </c>
      <c r="O40" s="9" t="s">
        <v>91</v>
      </c>
      <c r="P40" s="9" t="s">
        <v>90</v>
      </c>
    </row>
    <row r="41" spans="1:16" x14ac:dyDescent="0.25">
      <c r="A41" s="9" t="s">
        <v>222</v>
      </c>
      <c r="B41" s="23" t="s">
        <v>217</v>
      </c>
      <c r="C41" s="13" t="s">
        <v>223</v>
      </c>
      <c r="D41" s="13" t="s">
        <v>224</v>
      </c>
      <c r="E41" s="9" t="s">
        <v>17</v>
      </c>
      <c r="F41" s="9">
        <f>IFERROR(VLOOKUP(E41,'Release Plan'!$A$5:$C$9,3,FALSE),"")</f>
        <v>14</v>
      </c>
      <c r="G41" s="9" t="s">
        <v>88</v>
      </c>
      <c r="H41" s="9" t="s">
        <v>89</v>
      </c>
      <c r="I41" s="9">
        <v>11</v>
      </c>
      <c r="J41" s="9">
        <v>14</v>
      </c>
      <c r="K41" s="14">
        <f>Summary!$C$4+7*(I41-1)</f>
        <v>46391</v>
      </c>
      <c r="L41" s="14">
        <f>Summary!$C$4+7*(J41-1)+4</f>
        <v>46416</v>
      </c>
      <c r="M41" s="9">
        <v>3</v>
      </c>
      <c r="N41" s="9" t="s">
        <v>225</v>
      </c>
      <c r="O41" s="9" t="s">
        <v>91</v>
      </c>
      <c r="P41" s="9" t="s">
        <v>90</v>
      </c>
    </row>
    <row r="42" spans="1:16" x14ac:dyDescent="0.25">
      <c r="A42" s="9" t="s">
        <v>226</v>
      </c>
      <c r="B42" s="23" t="s">
        <v>217</v>
      </c>
      <c r="C42" s="13" t="s">
        <v>227</v>
      </c>
      <c r="D42" s="13" t="s">
        <v>228</v>
      </c>
      <c r="E42" s="9" t="s">
        <v>19</v>
      </c>
      <c r="F42" s="9">
        <f>IFERROR(VLOOKUP(E42,'Release Plan'!$A$5:$C$9,3,FALSE),"")</f>
        <v>20</v>
      </c>
      <c r="G42" s="9" t="s">
        <v>114</v>
      </c>
      <c r="H42" s="9" t="s">
        <v>89</v>
      </c>
      <c r="I42" s="9">
        <v>15</v>
      </c>
      <c r="J42" s="9">
        <v>18</v>
      </c>
      <c r="K42" s="14">
        <f>Summary!$C$4+7*(I42-1)</f>
        <v>46419</v>
      </c>
      <c r="L42" s="14">
        <f>Summary!$C$4+7*(J42-1)+4</f>
        <v>46444</v>
      </c>
      <c r="M42" s="9">
        <v>3</v>
      </c>
      <c r="N42" s="9" t="s">
        <v>222</v>
      </c>
      <c r="O42" s="9" t="s">
        <v>91</v>
      </c>
      <c r="P42" s="9" t="s">
        <v>90</v>
      </c>
    </row>
    <row r="43" spans="1:16" x14ac:dyDescent="0.25">
      <c r="A43" s="9" t="s">
        <v>229</v>
      </c>
      <c r="B43" s="23" t="s">
        <v>217</v>
      </c>
      <c r="C43" s="13" t="s">
        <v>230</v>
      </c>
      <c r="D43" s="13" t="s">
        <v>231</v>
      </c>
      <c r="E43" s="9" t="s">
        <v>19</v>
      </c>
      <c r="F43" s="9">
        <f>IFERROR(VLOOKUP(E43,'Release Plan'!$A$5:$C$9,3,FALSE),"")</f>
        <v>20</v>
      </c>
      <c r="G43" s="9" t="s">
        <v>114</v>
      </c>
      <c r="H43" s="9" t="s">
        <v>89</v>
      </c>
      <c r="I43" s="9">
        <v>17</v>
      </c>
      <c r="J43" s="9">
        <v>19</v>
      </c>
      <c r="K43" s="14">
        <f>Summary!$C$4+7*(I43-1)</f>
        <v>46433</v>
      </c>
      <c r="L43" s="14">
        <f>Summary!$C$4+7*(J43-1)+4</f>
        <v>46451</v>
      </c>
      <c r="M43" s="9">
        <v>2</v>
      </c>
      <c r="N43" s="9" t="s">
        <v>175</v>
      </c>
      <c r="O43" s="9" t="s">
        <v>91</v>
      </c>
      <c r="P43" s="9" t="s">
        <v>90</v>
      </c>
    </row>
    <row r="44" spans="1:16" x14ac:dyDescent="0.25">
      <c r="A44" s="9" t="s">
        <v>232</v>
      </c>
      <c r="B44" s="24" t="s">
        <v>233</v>
      </c>
      <c r="C44" s="13" t="s">
        <v>234</v>
      </c>
      <c r="D44" s="13" t="s">
        <v>235</v>
      </c>
      <c r="E44" s="9" t="s">
        <v>15</v>
      </c>
      <c r="F44" s="9">
        <f>IFERROR(VLOOKUP(E44,'Release Plan'!$A$5:$C$9,3,FALSE),"")</f>
        <v>8</v>
      </c>
      <c r="G44" s="9" t="s">
        <v>88</v>
      </c>
      <c r="H44" s="9" t="s">
        <v>89</v>
      </c>
      <c r="I44" s="9">
        <v>5</v>
      </c>
      <c r="J44" s="9">
        <v>8</v>
      </c>
      <c r="K44" s="14">
        <f>Summary!$C$4+7*(I44-1)</f>
        <v>46349</v>
      </c>
      <c r="L44" s="14">
        <f>Summary!$C$4+7*(J44-1)+4</f>
        <v>46374</v>
      </c>
      <c r="M44" s="9">
        <v>3</v>
      </c>
      <c r="N44" s="9" t="s">
        <v>105</v>
      </c>
      <c r="O44" s="9" t="s">
        <v>91</v>
      </c>
      <c r="P44" s="9" t="s">
        <v>92</v>
      </c>
    </row>
    <row r="45" spans="1:16" x14ac:dyDescent="0.25">
      <c r="A45" s="15" t="s">
        <v>236</v>
      </c>
      <c r="B45" s="25" t="s">
        <v>233</v>
      </c>
      <c r="C45" s="17" t="s">
        <v>237</v>
      </c>
      <c r="D45" s="17" t="s">
        <v>238</v>
      </c>
      <c r="E45" s="15" t="s">
        <v>132</v>
      </c>
      <c r="G45" s="15" t="s">
        <v>155</v>
      </c>
      <c r="H45" s="15" t="s">
        <v>133</v>
      </c>
      <c r="M45" s="15">
        <v>0</v>
      </c>
      <c r="N45" s="15" t="s">
        <v>90</v>
      </c>
      <c r="O45" s="15" t="s">
        <v>91</v>
      </c>
      <c r="P45" s="15" t="s">
        <v>90</v>
      </c>
    </row>
    <row r="46" spans="1:16" x14ac:dyDescent="0.25">
      <c r="A46" s="9" t="s">
        <v>239</v>
      </c>
      <c r="B46" s="24" t="s">
        <v>233</v>
      </c>
      <c r="C46" s="13" t="s">
        <v>240</v>
      </c>
      <c r="D46" s="13" t="s">
        <v>241</v>
      </c>
      <c r="E46" s="9" t="s">
        <v>15</v>
      </c>
      <c r="F46" s="9">
        <f>IFERROR(VLOOKUP(E46,'Release Plan'!$A$5:$C$9,3,FALSE),"")</f>
        <v>8</v>
      </c>
      <c r="G46" s="9" t="s">
        <v>114</v>
      </c>
      <c r="H46" s="9" t="s">
        <v>89</v>
      </c>
      <c r="I46" s="9">
        <v>7</v>
      </c>
      <c r="J46" s="9">
        <v>8</v>
      </c>
      <c r="K46" s="14">
        <f>Summary!$C$4+7*(I46-1)</f>
        <v>46363</v>
      </c>
      <c r="L46" s="14">
        <f>Summary!$C$4+7*(J46-1)+4</f>
        <v>46374</v>
      </c>
      <c r="M46" s="9">
        <v>1</v>
      </c>
      <c r="N46" s="9" t="s">
        <v>232</v>
      </c>
      <c r="O46" s="9" t="s">
        <v>91</v>
      </c>
      <c r="P46" s="9" t="s">
        <v>92</v>
      </c>
    </row>
    <row r="47" spans="1:16" x14ac:dyDescent="0.25">
      <c r="A47" s="9" t="s">
        <v>242</v>
      </c>
      <c r="B47" s="24" t="s">
        <v>233</v>
      </c>
      <c r="C47" s="13" t="s">
        <v>243</v>
      </c>
      <c r="D47" s="13" t="s">
        <v>244</v>
      </c>
      <c r="E47" s="9" t="s">
        <v>17</v>
      </c>
      <c r="F47" s="9">
        <f>IFERROR(VLOOKUP(E47,'Release Plan'!$A$5:$C$9,3,FALSE),"")</f>
        <v>14</v>
      </c>
      <c r="G47" s="9" t="s">
        <v>114</v>
      </c>
      <c r="H47" s="9" t="s">
        <v>89</v>
      </c>
      <c r="I47" s="9">
        <v>11</v>
      </c>
      <c r="J47" s="9">
        <v>14</v>
      </c>
      <c r="K47" s="14">
        <f>Summary!$C$4+7*(I47-1)</f>
        <v>46391</v>
      </c>
      <c r="L47" s="14">
        <f>Summary!$C$4+7*(J47-1)+4</f>
        <v>46416</v>
      </c>
      <c r="M47" s="9">
        <v>2</v>
      </c>
      <c r="N47" s="9" t="s">
        <v>232</v>
      </c>
      <c r="O47" s="9" t="s">
        <v>91</v>
      </c>
      <c r="P47" s="9" t="s">
        <v>90</v>
      </c>
    </row>
    <row r="48" spans="1:16" x14ac:dyDescent="0.25">
      <c r="A48" s="9" t="s">
        <v>245</v>
      </c>
      <c r="B48" s="24" t="s">
        <v>233</v>
      </c>
      <c r="C48" s="13" t="s">
        <v>246</v>
      </c>
      <c r="D48" s="13" t="s">
        <v>247</v>
      </c>
      <c r="E48" s="9" t="s">
        <v>19</v>
      </c>
      <c r="F48" s="9">
        <f>IFERROR(VLOOKUP(E48,'Release Plan'!$A$5:$C$9,3,FALSE),"")</f>
        <v>20</v>
      </c>
      <c r="G48" s="9" t="s">
        <v>155</v>
      </c>
      <c r="H48" s="9" t="s">
        <v>89</v>
      </c>
      <c r="I48" s="9">
        <v>16</v>
      </c>
      <c r="J48" s="9">
        <v>18</v>
      </c>
      <c r="K48" s="14">
        <f>Summary!$C$4+7*(I48-1)</f>
        <v>46426</v>
      </c>
      <c r="L48" s="14">
        <f>Summary!$C$4+7*(J48-1)+4</f>
        <v>46444</v>
      </c>
      <c r="M48" s="9">
        <v>2</v>
      </c>
      <c r="N48" s="9" t="s">
        <v>111</v>
      </c>
      <c r="O48" s="9" t="s">
        <v>91</v>
      </c>
      <c r="P48" s="9" t="s">
        <v>90</v>
      </c>
    </row>
    <row r="49" spans="1:16" x14ac:dyDescent="0.25">
      <c r="A49" s="9" t="s">
        <v>248</v>
      </c>
      <c r="B49" s="26" t="s">
        <v>249</v>
      </c>
      <c r="C49" s="13" t="s">
        <v>250</v>
      </c>
      <c r="D49" s="13" t="s">
        <v>251</v>
      </c>
      <c r="E49" s="9" t="s">
        <v>15</v>
      </c>
      <c r="F49" s="9">
        <f>IFERROR(VLOOKUP(E49,'Release Plan'!$A$5:$C$9,3,FALSE),"")</f>
        <v>8</v>
      </c>
      <c r="G49" s="9" t="s">
        <v>88</v>
      </c>
      <c r="H49" s="9" t="s">
        <v>89</v>
      </c>
      <c r="I49" s="9">
        <v>3</v>
      </c>
      <c r="J49" s="9">
        <v>6</v>
      </c>
      <c r="K49" s="14">
        <f>Summary!$C$4+7*(I49-1)</f>
        <v>46335</v>
      </c>
      <c r="L49" s="14">
        <f>Summary!$C$4+7*(J49-1)+4</f>
        <v>46360</v>
      </c>
      <c r="M49" s="9">
        <v>3</v>
      </c>
      <c r="N49" s="9" t="s">
        <v>252</v>
      </c>
      <c r="O49" s="9" t="s">
        <v>91</v>
      </c>
      <c r="P49" s="9" t="s">
        <v>92</v>
      </c>
    </row>
    <row r="50" spans="1:16" x14ac:dyDescent="0.25">
      <c r="A50" s="9" t="s">
        <v>253</v>
      </c>
      <c r="B50" s="26" t="s">
        <v>249</v>
      </c>
      <c r="C50" s="13" t="s">
        <v>254</v>
      </c>
      <c r="D50" s="13" t="s">
        <v>255</v>
      </c>
      <c r="E50" s="9" t="s">
        <v>15</v>
      </c>
      <c r="F50" s="9">
        <f>IFERROR(VLOOKUP(E50,'Release Plan'!$A$5:$C$9,3,FALSE),"")</f>
        <v>8</v>
      </c>
      <c r="G50" s="9" t="s">
        <v>88</v>
      </c>
      <c r="H50" s="9" t="s">
        <v>89</v>
      </c>
      <c r="I50" s="9">
        <v>5</v>
      </c>
      <c r="J50" s="9">
        <v>8</v>
      </c>
      <c r="K50" s="14">
        <f>Summary!$C$4+7*(I50-1)</f>
        <v>46349</v>
      </c>
      <c r="L50" s="14">
        <f>Summary!$C$4+7*(J50-1)+4</f>
        <v>46374</v>
      </c>
      <c r="M50" s="9">
        <v>3</v>
      </c>
      <c r="N50" s="9" t="s">
        <v>248</v>
      </c>
      <c r="O50" s="9" t="s">
        <v>91</v>
      </c>
      <c r="P50" s="9" t="s">
        <v>92</v>
      </c>
    </row>
    <row r="51" spans="1:16" x14ac:dyDescent="0.25">
      <c r="A51" s="9" t="s">
        <v>256</v>
      </c>
      <c r="B51" s="26" t="s">
        <v>249</v>
      </c>
      <c r="C51" s="13" t="s">
        <v>257</v>
      </c>
      <c r="D51" s="13" t="s">
        <v>258</v>
      </c>
      <c r="E51" s="9" t="s">
        <v>17</v>
      </c>
      <c r="F51" s="9">
        <f>IFERROR(VLOOKUP(E51,'Release Plan'!$A$5:$C$9,3,FALSE),"")</f>
        <v>14</v>
      </c>
      <c r="G51" s="9" t="s">
        <v>88</v>
      </c>
      <c r="H51" s="9" t="s">
        <v>89</v>
      </c>
      <c r="I51" s="9">
        <v>9</v>
      </c>
      <c r="J51" s="9">
        <v>12</v>
      </c>
      <c r="K51" s="14">
        <f>Summary!$C$4+7*(I51-1)</f>
        <v>46377</v>
      </c>
      <c r="L51" s="14">
        <f>Summary!$C$4+7*(J51-1)+4</f>
        <v>46402</v>
      </c>
      <c r="M51" s="9">
        <v>3</v>
      </c>
      <c r="N51" s="9" t="s">
        <v>259</v>
      </c>
      <c r="O51" s="9" t="s">
        <v>91</v>
      </c>
      <c r="P51" s="9" t="s">
        <v>90</v>
      </c>
    </row>
    <row r="52" spans="1:16" x14ac:dyDescent="0.25">
      <c r="A52" s="9" t="s">
        <v>260</v>
      </c>
      <c r="B52" s="26" t="s">
        <v>249</v>
      </c>
      <c r="C52" s="13" t="s">
        <v>261</v>
      </c>
      <c r="D52" s="13" t="s">
        <v>262</v>
      </c>
      <c r="E52" s="9" t="s">
        <v>17</v>
      </c>
      <c r="F52" s="9">
        <f>IFERROR(VLOOKUP(E52,'Release Plan'!$A$5:$C$9,3,FALSE),"")</f>
        <v>14</v>
      </c>
      <c r="G52" s="9" t="s">
        <v>88</v>
      </c>
      <c r="H52" s="9" t="s">
        <v>89</v>
      </c>
      <c r="I52" s="9">
        <v>11</v>
      </c>
      <c r="J52" s="9">
        <v>14</v>
      </c>
      <c r="K52" s="14">
        <f>Summary!$C$4+7*(I52-1)</f>
        <v>46391</v>
      </c>
      <c r="L52" s="14">
        <f>Summary!$C$4+7*(J52-1)+4</f>
        <v>46416</v>
      </c>
      <c r="M52" s="9">
        <v>3</v>
      </c>
      <c r="N52" s="9" t="s">
        <v>263</v>
      </c>
      <c r="O52" s="9" t="s">
        <v>91</v>
      </c>
      <c r="P52" s="9" t="s">
        <v>90</v>
      </c>
    </row>
    <row r="53" spans="1:16" x14ac:dyDescent="0.25">
      <c r="A53" s="9" t="s">
        <v>264</v>
      </c>
      <c r="B53" s="26" t="s">
        <v>249</v>
      </c>
      <c r="C53" s="13" t="s">
        <v>265</v>
      </c>
      <c r="D53" s="13" t="s">
        <v>266</v>
      </c>
      <c r="E53" s="9" t="s">
        <v>17</v>
      </c>
      <c r="F53" s="9">
        <f>IFERROR(VLOOKUP(E53,'Release Plan'!$A$5:$C$9,3,FALSE),"")</f>
        <v>14</v>
      </c>
      <c r="G53" s="9" t="s">
        <v>88</v>
      </c>
      <c r="H53" s="9" t="s">
        <v>89</v>
      </c>
      <c r="I53" s="9">
        <v>9</v>
      </c>
      <c r="J53" s="9">
        <v>11</v>
      </c>
      <c r="K53" s="14">
        <f>Summary!$C$4+7*(I53-1)</f>
        <v>46377</v>
      </c>
      <c r="L53" s="14">
        <f>Summary!$C$4+7*(J53-1)+4</f>
        <v>46395</v>
      </c>
      <c r="M53" s="9">
        <v>2</v>
      </c>
      <c r="N53" s="9" t="s">
        <v>248</v>
      </c>
      <c r="O53" s="9" t="s">
        <v>91</v>
      </c>
      <c r="P53" s="9" t="s">
        <v>90</v>
      </c>
    </row>
    <row r="54" spans="1:16" x14ac:dyDescent="0.25">
      <c r="A54" s="9" t="s">
        <v>267</v>
      </c>
      <c r="B54" s="26" t="s">
        <v>249</v>
      </c>
      <c r="C54" s="13" t="s">
        <v>268</v>
      </c>
      <c r="D54" s="13" t="s">
        <v>269</v>
      </c>
      <c r="E54" s="9" t="s">
        <v>17</v>
      </c>
      <c r="F54" s="9">
        <f>IFERROR(VLOOKUP(E54,'Release Plan'!$A$5:$C$9,3,FALSE),"")</f>
        <v>14</v>
      </c>
      <c r="G54" s="9" t="s">
        <v>88</v>
      </c>
      <c r="H54" s="9" t="s">
        <v>89</v>
      </c>
      <c r="I54" s="9">
        <v>7</v>
      </c>
      <c r="J54" s="9">
        <v>11</v>
      </c>
      <c r="K54" s="14">
        <f>Summary!$C$4+7*(I54-1)</f>
        <v>46363</v>
      </c>
      <c r="L54" s="14">
        <f>Summary!$C$4+7*(J54-1)+4</f>
        <v>46395</v>
      </c>
      <c r="M54" s="9">
        <v>4</v>
      </c>
      <c r="N54" s="9" t="s">
        <v>270</v>
      </c>
      <c r="O54" s="9" t="s">
        <v>91</v>
      </c>
      <c r="P54" s="9" t="s">
        <v>90</v>
      </c>
    </row>
    <row r="55" spans="1:16" x14ac:dyDescent="0.25">
      <c r="A55" s="9" t="s">
        <v>271</v>
      </c>
      <c r="B55" s="26" t="s">
        <v>249</v>
      </c>
      <c r="C55" s="13" t="s">
        <v>272</v>
      </c>
      <c r="D55" s="13" t="s">
        <v>273</v>
      </c>
      <c r="E55" s="9" t="s">
        <v>17</v>
      </c>
      <c r="F55" s="9">
        <f>IFERROR(VLOOKUP(E55,'Release Plan'!$A$5:$C$9,3,FALSE),"")</f>
        <v>14</v>
      </c>
      <c r="G55" s="9" t="s">
        <v>114</v>
      </c>
      <c r="H55" s="9" t="s">
        <v>89</v>
      </c>
      <c r="I55" s="9">
        <v>10</v>
      </c>
      <c r="J55" s="9">
        <v>12</v>
      </c>
      <c r="K55" s="14">
        <f>Summary!$C$4+7*(I55-1)</f>
        <v>46384</v>
      </c>
      <c r="L55" s="14">
        <f>Summary!$C$4+7*(J55-1)+4</f>
        <v>46402</v>
      </c>
      <c r="M55" s="9">
        <v>2</v>
      </c>
      <c r="N55" s="9" t="s">
        <v>274</v>
      </c>
      <c r="O55" s="9" t="s">
        <v>91</v>
      </c>
      <c r="P55" s="9" t="s">
        <v>90</v>
      </c>
    </row>
    <row r="56" spans="1:16" x14ac:dyDescent="0.25">
      <c r="A56" s="9" t="s">
        <v>275</v>
      </c>
      <c r="B56" s="26" t="s">
        <v>249</v>
      </c>
      <c r="C56" s="13" t="s">
        <v>276</v>
      </c>
      <c r="D56" s="13" t="s">
        <v>277</v>
      </c>
      <c r="E56" s="9" t="s">
        <v>19</v>
      </c>
      <c r="F56" s="9">
        <f>IFERROR(VLOOKUP(E56,'Release Plan'!$A$5:$C$9,3,FALSE),"")</f>
        <v>20</v>
      </c>
      <c r="G56" s="9" t="s">
        <v>114</v>
      </c>
      <c r="H56" s="9" t="s">
        <v>89</v>
      </c>
      <c r="I56" s="9">
        <v>14</v>
      </c>
      <c r="J56" s="9">
        <v>18</v>
      </c>
      <c r="K56" s="14">
        <f>Summary!$C$4+7*(I56-1)</f>
        <v>46412</v>
      </c>
      <c r="L56" s="14">
        <f>Summary!$C$4+7*(J56-1)+4</f>
        <v>46444</v>
      </c>
      <c r="M56" s="9">
        <v>4</v>
      </c>
      <c r="N56" s="9" t="s">
        <v>260</v>
      </c>
      <c r="O56" s="9" t="s">
        <v>91</v>
      </c>
      <c r="P56" s="9" t="s">
        <v>90</v>
      </c>
    </row>
    <row r="57" spans="1:16" x14ac:dyDescent="0.25">
      <c r="A57" s="9" t="s">
        <v>278</v>
      </c>
      <c r="B57" s="27" t="s">
        <v>279</v>
      </c>
      <c r="C57" s="13" t="s">
        <v>280</v>
      </c>
      <c r="D57" s="13" t="s">
        <v>281</v>
      </c>
      <c r="E57" s="9" t="s">
        <v>17</v>
      </c>
      <c r="F57" s="9">
        <f>IFERROR(VLOOKUP(E57,'Release Plan'!$A$5:$C$9,3,FALSE),"")</f>
        <v>14</v>
      </c>
      <c r="G57" s="9" t="s">
        <v>88</v>
      </c>
      <c r="H57" s="9" t="s">
        <v>89</v>
      </c>
      <c r="I57" s="9">
        <v>6</v>
      </c>
      <c r="J57" s="9">
        <v>9</v>
      </c>
      <c r="K57" s="14">
        <f>Summary!$C$4+7*(I57-1)</f>
        <v>46356</v>
      </c>
      <c r="L57" s="14">
        <f>Summary!$C$4+7*(J57-1)+4</f>
        <v>46381</v>
      </c>
      <c r="M57" s="9">
        <v>3</v>
      </c>
      <c r="N57" s="9" t="s">
        <v>282</v>
      </c>
      <c r="O57" s="9" t="s">
        <v>91</v>
      </c>
      <c r="P57" s="9" t="s">
        <v>90</v>
      </c>
    </row>
    <row r="58" spans="1:16" x14ac:dyDescent="0.25">
      <c r="A58" s="9" t="s">
        <v>283</v>
      </c>
      <c r="B58" s="27" t="s">
        <v>279</v>
      </c>
      <c r="C58" s="13" t="s">
        <v>284</v>
      </c>
      <c r="D58" s="13" t="s">
        <v>285</v>
      </c>
      <c r="E58" s="9" t="s">
        <v>17</v>
      </c>
      <c r="F58" s="9">
        <f>IFERROR(VLOOKUP(E58,'Release Plan'!$A$5:$C$9,3,FALSE),"")</f>
        <v>14</v>
      </c>
      <c r="G58" s="9" t="s">
        <v>88</v>
      </c>
      <c r="H58" s="9" t="s">
        <v>89</v>
      </c>
      <c r="I58" s="9">
        <v>8</v>
      </c>
      <c r="J58" s="9">
        <v>10</v>
      </c>
      <c r="K58" s="14">
        <f>Summary!$C$4+7*(I58-1)</f>
        <v>46370</v>
      </c>
      <c r="L58" s="14">
        <f>Summary!$C$4+7*(J58-1)+4</f>
        <v>46388</v>
      </c>
      <c r="M58" s="9">
        <v>2</v>
      </c>
      <c r="N58" s="9" t="s">
        <v>252</v>
      </c>
      <c r="O58" s="9" t="s">
        <v>91</v>
      </c>
      <c r="P58" s="9" t="s">
        <v>90</v>
      </c>
    </row>
    <row r="59" spans="1:16" x14ac:dyDescent="0.25">
      <c r="A59" s="9" t="s">
        <v>286</v>
      </c>
      <c r="B59" s="27" t="s">
        <v>279</v>
      </c>
      <c r="C59" s="13" t="s">
        <v>287</v>
      </c>
      <c r="D59" s="13" t="s">
        <v>288</v>
      </c>
      <c r="E59" s="9" t="s">
        <v>17</v>
      </c>
      <c r="F59" s="9">
        <f>IFERROR(VLOOKUP(E59,'Release Plan'!$A$5:$C$9,3,FALSE),"")</f>
        <v>14</v>
      </c>
      <c r="G59" s="9" t="s">
        <v>88</v>
      </c>
      <c r="H59" s="9" t="s">
        <v>89</v>
      </c>
      <c r="I59" s="9">
        <v>9</v>
      </c>
      <c r="J59" s="9">
        <v>12</v>
      </c>
      <c r="K59" s="14">
        <f>Summary!$C$4+7*(I59-1)</f>
        <v>46377</v>
      </c>
      <c r="L59" s="14">
        <f>Summary!$C$4+7*(J59-1)+4</f>
        <v>46402</v>
      </c>
      <c r="M59" s="9">
        <v>3</v>
      </c>
      <c r="N59" s="9" t="s">
        <v>289</v>
      </c>
      <c r="O59" s="9" t="s">
        <v>91</v>
      </c>
      <c r="P59" s="9" t="s">
        <v>90</v>
      </c>
    </row>
    <row r="60" spans="1:16" x14ac:dyDescent="0.25">
      <c r="A60" s="9" t="s">
        <v>290</v>
      </c>
      <c r="B60" s="27" t="s">
        <v>279</v>
      </c>
      <c r="C60" s="13" t="s">
        <v>291</v>
      </c>
      <c r="D60" s="13" t="s">
        <v>292</v>
      </c>
      <c r="E60" s="9" t="s">
        <v>17</v>
      </c>
      <c r="F60" s="9">
        <f>IFERROR(VLOOKUP(E60,'Release Plan'!$A$5:$C$9,3,FALSE),"")</f>
        <v>14</v>
      </c>
      <c r="G60" s="9" t="s">
        <v>88</v>
      </c>
      <c r="H60" s="9" t="s">
        <v>89</v>
      </c>
      <c r="I60" s="9">
        <v>11</v>
      </c>
      <c r="J60" s="9">
        <v>14</v>
      </c>
      <c r="K60" s="14">
        <f>Summary!$C$4+7*(I60-1)</f>
        <v>46391</v>
      </c>
      <c r="L60" s="14">
        <f>Summary!$C$4+7*(J60-1)+4</f>
        <v>46416</v>
      </c>
      <c r="M60" s="9">
        <v>3</v>
      </c>
      <c r="N60" s="9" t="s">
        <v>293</v>
      </c>
      <c r="O60" s="9" t="s">
        <v>91</v>
      </c>
      <c r="P60" s="9" t="s">
        <v>90</v>
      </c>
    </row>
    <row r="61" spans="1:16" x14ac:dyDescent="0.25">
      <c r="A61" s="9" t="s">
        <v>294</v>
      </c>
      <c r="B61" s="27" t="s">
        <v>279</v>
      </c>
      <c r="C61" s="13" t="s">
        <v>295</v>
      </c>
      <c r="D61" s="13" t="s">
        <v>296</v>
      </c>
      <c r="E61" s="9" t="s">
        <v>17</v>
      </c>
      <c r="F61" s="9">
        <f>IFERROR(VLOOKUP(E61,'Release Plan'!$A$5:$C$9,3,FALSE),"")</f>
        <v>14</v>
      </c>
      <c r="G61" s="9" t="s">
        <v>114</v>
      </c>
      <c r="H61" s="9" t="s">
        <v>89</v>
      </c>
      <c r="I61" s="9">
        <v>12</v>
      </c>
      <c r="J61" s="9">
        <v>14</v>
      </c>
      <c r="K61" s="14">
        <f>Summary!$C$4+7*(I61-1)</f>
        <v>46398</v>
      </c>
      <c r="L61" s="14">
        <f>Summary!$C$4+7*(J61-1)+4</f>
        <v>46416</v>
      </c>
      <c r="M61" s="9">
        <v>2</v>
      </c>
      <c r="N61" s="9" t="s">
        <v>286</v>
      </c>
      <c r="O61" s="9" t="s">
        <v>91</v>
      </c>
      <c r="P61" s="9" t="s">
        <v>90</v>
      </c>
    </row>
    <row r="62" spans="1:16" x14ac:dyDescent="0.25">
      <c r="A62" s="9" t="s">
        <v>297</v>
      </c>
      <c r="B62" s="27" t="s">
        <v>279</v>
      </c>
      <c r="C62" s="13" t="s">
        <v>298</v>
      </c>
      <c r="D62" s="13" t="s">
        <v>299</v>
      </c>
      <c r="E62" s="9" t="s">
        <v>17</v>
      </c>
      <c r="F62" s="9">
        <f>IFERROR(VLOOKUP(E62,'Release Plan'!$A$5:$C$9,3,FALSE),"")</f>
        <v>14</v>
      </c>
      <c r="G62" s="9" t="s">
        <v>88</v>
      </c>
      <c r="H62" s="9" t="s">
        <v>89</v>
      </c>
      <c r="I62" s="9">
        <v>8</v>
      </c>
      <c r="J62" s="9">
        <v>11</v>
      </c>
      <c r="K62" s="14">
        <f>Summary!$C$4+7*(I62-1)</f>
        <v>46370</v>
      </c>
      <c r="L62" s="14">
        <f>Summary!$C$4+7*(J62-1)+4</f>
        <v>46395</v>
      </c>
      <c r="M62" s="9">
        <v>3</v>
      </c>
      <c r="N62" s="9" t="s">
        <v>84</v>
      </c>
      <c r="O62" s="9" t="s">
        <v>91</v>
      </c>
      <c r="P62" s="9" t="s">
        <v>90</v>
      </c>
    </row>
    <row r="63" spans="1:16" x14ac:dyDescent="0.25">
      <c r="A63" s="9" t="s">
        <v>300</v>
      </c>
      <c r="B63" s="27" t="s">
        <v>279</v>
      </c>
      <c r="C63" s="13" t="s">
        <v>301</v>
      </c>
      <c r="D63" s="13" t="s">
        <v>302</v>
      </c>
      <c r="E63" s="9" t="s">
        <v>19</v>
      </c>
      <c r="F63" s="9">
        <f>IFERROR(VLOOKUP(E63,'Release Plan'!$A$5:$C$9,3,FALSE),"")</f>
        <v>20</v>
      </c>
      <c r="G63" s="9" t="s">
        <v>114</v>
      </c>
      <c r="H63" s="9" t="s">
        <v>89</v>
      </c>
      <c r="I63" s="9">
        <v>15</v>
      </c>
      <c r="J63" s="9">
        <v>19</v>
      </c>
      <c r="K63" s="14">
        <f>Summary!$C$4+7*(I63-1)</f>
        <v>46419</v>
      </c>
      <c r="L63" s="14">
        <f>Summary!$C$4+7*(J63-1)+4</f>
        <v>46451</v>
      </c>
      <c r="M63" s="9">
        <v>4</v>
      </c>
      <c r="N63" s="9" t="s">
        <v>290</v>
      </c>
      <c r="O63" s="9" t="s">
        <v>91</v>
      </c>
      <c r="P63" s="9" t="s">
        <v>90</v>
      </c>
    </row>
    <row r="64" spans="1:16" x14ac:dyDescent="0.25">
      <c r="A64" s="9" t="s">
        <v>282</v>
      </c>
      <c r="B64" s="28" t="s">
        <v>303</v>
      </c>
      <c r="C64" s="13" t="s">
        <v>304</v>
      </c>
      <c r="D64" s="13" t="s">
        <v>305</v>
      </c>
      <c r="E64" s="9" t="s">
        <v>15</v>
      </c>
      <c r="F64" s="9">
        <f>IFERROR(VLOOKUP(E64,'Release Plan'!$A$5:$C$9,3,FALSE),"")</f>
        <v>8</v>
      </c>
      <c r="G64" s="9" t="s">
        <v>88</v>
      </c>
      <c r="H64" s="9" t="s">
        <v>89</v>
      </c>
      <c r="I64" s="9">
        <v>5</v>
      </c>
      <c r="J64" s="9">
        <v>8</v>
      </c>
      <c r="K64" s="14">
        <f>Summary!$C$4+7*(I64-1)</f>
        <v>46349</v>
      </c>
      <c r="L64" s="14">
        <f>Summary!$C$4+7*(J64-1)+4</f>
        <v>46374</v>
      </c>
      <c r="M64" s="9">
        <v>2</v>
      </c>
      <c r="N64" s="9" t="s">
        <v>105</v>
      </c>
      <c r="O64" s="9" t="s">
        <v>91</v>
      </c>
      <c r="P64" s="9" t="s">
        <v>92</v>
      </c>
    </row>
    <row r="65" spans="1:16" x14ac:dyDescent="0.25">
      <c r="A65" s="9" t="s">
        <v>252</v>
      </c>
      <c r="B65" s="28" t="s">
        <v>303</v>
      </c>
      <c r="C65" s="13" t="s">
        <v>306</v>
      </c>
      <c r="D65" s="13" t="s">
        <v>307</v>
      </c>
      <c r="E65" s="9" t="s">
        <v>13</v>
      </c>
      <c r="F65" s="9">
        <f>IFERROR(VLOOKUP(E65,'Release Plan'!$A$5:$C$9,3,FALSE),"")</f>
        <v>4</v>
      </c>
      <c r="G65" s="9" t="s">
        <v>88</v>
      </c>
      <c r="H65" s="9" t="s">
        <v>89</v>
      </c>
      <c r="I65" s="9">
        <v>2</v>
      </c>
      <c r="J65" s="9">
        <v>4</v>
      </c>
      <c r="K65" s="14">
        <f>Summary!$C$4+7*(I65-1)</f>
        <v>46328</v>
      </c>
      <c r="L65" s="14">
        <f>Summary!$C$4+7*(J65-1)+4</f>
        <v>46346</v>
      </c>
      <c r="M65" s="9">
        <v>2</v>
      </c>
      <c r="N65" s="9" t="s">
        <v>90</v>
      </c>
      <c r="O65" s="9" t="s">
        <v>91</v>
      </c>
      <c r="P65" s="9" t="s">
        <v>92</v>
      </c>
    </row>
    <row r="66" spans="1:16" x14ac:dyDescent="0.25">
      <c r="A66" s="9" t="s">
        <v>308</v>
      </c>
      <c r="B66" s="28" t="s">
        <v>303</v>
      </c>
      <c r="C66" s="13" t="s">
        <v>309</v>
      </c>
      <c r="D66" s="13" t="s">
        <v>310</v>
      </c>
      <c r="E66" s="9" t="s">
        <v>19</v>
      </c>
      <c r="F66" s="9">
        <f>IFERROR(VLOOKUP(E66,'Release Plan'!$A$5:$C$9,3,FALSE),"")</f>
        <v>20</v>
      </c>
      <c r="G66" s="9" t="s">
        <v>88</v>
      </c>
      <c r="H66" s="9" t="s">
        <v>89</v>
      </c>
      <c r="I66" s="9">
        <v>18</v>
      </c>
      <c r="J66" s="9">
        <v>20</v>
      </c>
      <c r="K66" s="14">
        <f>Summary!$C$4+7*(I66-1)</f>
        <v>46440</v>
      </c>
      <c r="L66" s="14">
        <f>Summary!$C$4+7*(J66-1)+4</f>
        <v>46458</v>
      </c>
      <c r="M66" s="9">
        <v>3</v>
      </c>
      <c r="N66" s="9" t="s">
        <v>311</v>
      </c>
      <c r="O66" s="9" t="s">
        <v>91</v>
      </c>
      <c r="P66" s="9" t="s">
        <v>90</v>
      </c>
    </row>
    <row r="67" spans="1:16" x14ac:dyDescent="0.25">
      <c r="A67" s="9" t="s">
        <v>312</v>
      </c>
      <c r="B67" s="28" t="s">
        <v>303</v>
      </c>
      <c r="C67" s="13" t="s">
        <v>313</v>
      </c>
      <c r="D67" s="13" t="s">
        <v>314</v>
      </c>
      <c r="E67" s="9" t="s">
        <v>15</v>
      </c>
      <c r="F67" s="9">
        <f>IFERROR(VLOOKUP(E67,'Release Plan'!$A$5:$C$9,3,FALSE),"")</f>
        <v>8</v>
      </c>
      <c r="G67" s="9" t="s">
        <v>88</v>
      </c>
      <c r="H67" s="9" t="s">
        <v>89</v>
      </c>
      <c r="I67" s="9">
        <v>7</v>
      </c>
      <c r="J67" s="9">
        <v>8</v>
      </c>
      <c r="K67" s="14">
        <f>Summary!$C$4+7*(I67-1)</f>
        <v>46363</v>
      </c>
      <c r="L67" s="14">
        <f>Summary!$C$4+7*(J67-1)+4</f>
        <v>46374</v>
      </c>
      <c r="M67" s="9">
        <v>1</v>
      </c>
      <c r="N67" s="9" t="s">
        <v>315</v>
      </c>
      <c r="O67" s="9" t="s">
        <v>91</v>
      </c>
      <c r="P67" s="9" t="s">
        <v>92</v>
      </c>
    </row>
    <row r="68" spans="1:16" x14ac:dyDescent="0.25">
      <c r="A68" s="9" t="s">
        <v>316</v>
      </c>
      <c r="B68" s="28" t="s">
        <v>303</v>
      </c>
      <c r="C68" s="13" t="s">
        <v>317</v>
      </c>
      <c r="D68" s="13" t="s">
        <v>318</v>
      </c>
      <c r="E68" s="9" t="s">
        <v>21</v>
      </c>
      <c r="F68" s="9">
        <f>IFERROR(VLOOKUP(E68,'Release Plan'!$A$5:$C$9,3,FALSE),"")</f>
        <v>24</v>
      </c>
      <c r="G68" s="9" t="s">
        <v>88</v>
      </c>
      <c r="H68" s="9" t="s">
        <v>89</v>
      </c>
      <c r="I68" s="9">
        <v>21</v>
      </c>
      <c r="J68" s="9">
        <v>23</v>
      </c>
      <c r="K68" s="14">
        <f>Summary!$C$4+7*(I68-1)</f>
        <v>46461</v>
      </c>
      <c r="L68" s="14">
        <f>Summary!$C$4+7*(J68-1)+4</f>
        <v>46479</v>
      </c>
      <c r="M68" s="9">
        <v>3</v>
      </c>
      <c r="N68" s="9" t="s">
        <v>308</v>
      </c>
      <c r="O68" s="9" t="s">
        <v>91</v>
      </c>
      <c r="P68" s="9" t="s">
        <v>90</v>
      </c>
    </row>
    <row r="69" spans="1:16" x14ac:dyDescent="0.25">
      <c r="A69" s="9" t="s">
        <v>319</v>
      </c>
      <c r="B69" s="29" t="s">
        <v>320</v>
      </c>
      <c r="C69" s="13" t="s">
        <v>321</v>
      </c>
      <c r="D69" s="13" t="s">
        <v>322</v>
      </c>
      <c r="E69" s="9" t="s">
        <v>13</v>
      </c>
      <c r="F69" s="9">
        <f>IFERROR(VLOOKUP(E69,'Release Plan'!$A$5:$C$9,3,FALSE),"")</f>
        <v>4</v>
      </c>
      <c r="G69" s="9" t="s">
        <v>88</v>
      </c>
      <c r="H69" s="9" t="s">
        <v>89</v>
      </c>
      <c r="I69" s="9">
        <v>2</v>
      </c>
      <c r="J69" s="9">
        <v>3</v>
      </c>
      <c r="K69" s="14">
        <f>Summary!$C$4+7*(I69-1)</f>
        <v>46328</v>
      </c>
      <c r="L69" s="14">
        <f>Summary!$C$4+7*(J69-1)+4</f>
        <v>46339</v>
      </c>
      <c r="M69" s="9">
        <v>1</v>
      </c>
      <c r="N69" s="9" t="s">
        <v>84</v>
      </c>
      <c r="O69" s="9" t="s">
        <v>91</v>
      </c>
      <c r="P69" s="9" t="s">
        <v>92</v>
      </c>
    </row>
    <row r="70" spans="1:16" x14ac:dyDescent="0.25">
      <c r="A70" s="9" t="s">
        <v>323</v>
      </c>
      <c r="B70" s="29" t="s">
        <v>320</v>
      </c>
      <c r="C70" s="13" t="s">
        <v>324</v>
      </c>
      <c r="D70" s="13" t="s">
        <v>325</v>
      </c>
      <c r="E70" s="9" t="s">
        <v>21</v>
      </c>
      <c r="F70" s="9">
        <f>IFERROR(VLOOKUP(E70,'Release Plan'!$A$5:$C$9,3,FALSE),"")</f>
        <v>24</v>
      </c>
      <c r="G70" s="9" t="s">
        <v>114</v>
      </c>
      <c r="H70" s="9" t="s">
        <v>89</v>
      </c>
      <c r="I70" s="9">
        <v>18</v>
      </c>
      <c r="J70" s="9">
        <v>23</v>
      </c>
      <c r="K70" s="14">
        <f>Summary!$C$4+7*(I70-1)</f>
        <v>46440</v>
      </c>
      <c r="L70" s="14">
        <f>Summary!$C$4+7*(J70-1)+4</f>
        <v>46479</v>
      </c>
      <c r="M70" s="9">
        <v>3</v>
      </c>
      <c r="N70" s="9" t="s">
        <v>90</v>
      </c>
      <c r="O70" s="9" t="s">
        <v>91</v>
      </c>
      <c r="P70" s="9" t="s">
        <v>90</v>
      </c>
    </row>
    <row r="71" spans="1:16" x14ac:dyDescent="0.25">
      <c r="A71" s="9" t="s">
        <v>326</v>
      </c>
      <c r="B71" s="29" t="s">
        <v>320</v>
      </c>
      <c r="C71" s="13" t="s">
        <v>327</v>
      </c>
      <c r="D71" s="13" t="s">
        <v>328</v>
      </c>
      <c r="E71" s="9" t="s">
        <v>21</v>
      </c>
      <c r="F71" s="9">
        <f>IFERROR(VLOOKUP(E71,'Release Plan'!$A$5:$C$9,3,FALSE),"")</f>
        <v>24</v>
      </c>
      <c r="G71" s="9" t="s">
        <v>88</v>
      </c>
      <c r="H71" s="9" t="s">
        <v>89</v>
      </c>
      <c r="I71" s="9">
        <v>23</v>
      </c>
      <c r="J71" s="9">
        <v>24</v>
      </c>
      <c r="K71" s="14">
        <f>Summary!$C$4+7*(I71-1)</f>
        <v>46475</v>
      </c>
      <c r="L71" s="14">
        <f>Summary!$C$4+7*(J71-1)+4</f>
        <v>46486</v>
      </c>
      <c r="M71" s="9">
        <v>2</v>
      </c>
      <c r="N71" s="9" t="s">
        <v>329</v>
      </c>
      <c r="O71" s="9" t="s">
        <v>91</v>
      </c>
      <c r="P71" s="9" t="s">
        <v>90</v>
      </c>
    </row>
    <row r="72" spans="1:16" x14ac:dyDescent="0.25">
      <c r="A72" s="9" t="s">
        <v>330</v>
      </c>
      <c r="B72" s="29" t="s">
        <v>320</v>
      </c>
      <c r="C72" s="13" t="s">
        <v>331</v>
      </c>
      <c r="D72" s="13" t="s">
        <v>332</v>
      </c>
      <c r="E72" s="9" t="s">
        <v>21</v>
      </c>
      <c r="F72" s="9">
        <f>IFERROR(VLOOKUP(E72,'Release Plan'!$A$5:$C$9,3,FALSE),"")</f>
        <v>24</v>
      </c>
      <c r="G72" s="9" t="s">
        <v>88</v>
      </c>
      <c r="H72" s="9" t="s">
        <v>89</v>
      </c>
      <c r="I72" s="9">
        <v>21</v>
      </c>
      <c r="J72" s="9">
        <v>23</v>
      </c>
      <c r="K72" s="14">
        <f>Summary!$C$4+7*(I72-1)</f>
        <v>46461</v>
      </c>
      <c r="L72" s="14">
        <f>Summary!$C$4+7*(J72-1)+4</f>
        <v>46479</v>
      </c>
      <c r="M72" s="9">
        <v>3</v>
      </c>
      <c r="N72" s="9" t="s">
        <v>125</v>
      </c>
      <c r="O72" s="9" t="s">
        <v>91</v>
      </c>
      <c r="P72" s="9" t="s">
        <v>90</v>
      </c>
    </row>
  </sheetData>
  <autoFilter ref="A1:P7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"/>
  <sheetFormatPr defaultRowHeight="15" outlineLevelRow="0" outlineLevelCol="0" x14ac:dyDescent="55"/>
  <cols>
    <col min="1" max="1" width="10" customWidth="1"/>
    <col min="2" max="2" width="50" customWidth="1"/>
    <col min="3" max="3" width="8" customWidth="1"/>
    <col min="4" max="4" width="18" customWidth="1"/>
    <col min="5" max="5" width="30" customWidth="1"/>
    <col min="6" max="6" width="13" customWidth="1"/>
    <col min="7" max="7" width="80" customWidth="1"/>
  </cols>
  <sheetData>
    <row r="1" spans="1:1" x14ac:dyDescent="0.25">
      <c r="A1" s="51" t="s">
        <v>339</v>
      </c>
    </row>
    <row r="2" spans="1:1" x14ac:dyDescent="0.25">
      <c r="A2" s="52" t="s">
        <v>340</v>
      </c>
    </row>
    <row r="4" spans="1:7" x14ac:dyDescent="0.25">
      <c r="A4" s="8" t="s">
        <v>10</v>
      </c>
      <c r="B4" s="8" t="s">
        <v>341</v>
      </c>
      <c r="C4" s="8" t="s">
        <v>44</v>
      </c>
      <c r="D4" s="8" t="s">
        <v>342</v>
      </c>
      <c r="E4" s="8" t="s">
        <v>343</v>
      </c>
      <c r="F4" s="8" t="s">
        <v>344</v>
      </c>
      <c r="G4" s="8" t="s">
        <v>345</v>
      </c>
    </row>
    <row r="5" ht="48" customHeight="1" spans="1:7" x14ac:dyDescent="0.25">
      <c r="A5" s="9" t="s">
        <v>13</v>
      </c>
      <c r="B5" s="13" t="s">
        <v>14</v>
      </c>
      <c r="C5" s="9">
        <v>4</v>
      </c>
      <c r="D5" s="10">
        <f>Summary!$C$4+7*(C5-1)+4</f>
        <v>46346</v>
      </c>
      <c r="E5" s="9" t="s">
        <v>346</v>
      </c>
      <c r="F5" s="9">
        <f>COUNTIFS(Features!$E$2:$E$72,A5,Features!$H$2:$H$72,"Planned")</f>
        <v>7</v>
      </c>
      <c r="G5" s="13" t="s">
        <v>347</v>
      </c>
    </row>
    <row r="6" ht="48" customHeight="1" spans="1:7" x14ac:dyDescent="0.25">
      <c r="A6" s="9" t="s">
        <v>15</v>
      </c>
      <c r="B6" s="13" t="s">
        <v>16</v>
      </c>
      <c r="C6" s="9">
        <v>8</v>
      </c>
      <c r="D6" s="10">
        <f>Summary!$C$4+7*(C6-1)+4</f>
        <v>46374</v>
      </c>
      <c r="E6" s="9" t="s">
        <v>348</v>
      </c>
      <c r="F6" s="9">
        <f>COUNTIFS(Features!$E$2:$E$72,A6,Features!$H$2:$H$72,"Planned")</f>
        <v>16</v>
      </c>
      <c r="G6" s="13" t="s">
        <v>349</v>
      </c>
    </row>
    <row r="7" ht="48" customHeight="1" spans="1:7" x14ac:dyDescent="0.25">
      <c r="A7" s="9" t="s">
        <v>17</v>
      </c>
      <c r="B7" s="13" t="s">
        <v>18</v>
      </c>
      <c r="C7" s="9">
        <v>14</v>
      </c>
      <c r="D7" s="10">
        <f>Summary!$C$4+7*(C7-1)+4</f>
        <v>46416</v>
      </c>
      <c r="E7" s="9" t="s">
        <v>350</v>
      </c>
      <c r="F7" s="9">
        <f>COUNTIFS(Features!$E$2:$E$72,A7,Features!$H$2:$H$72,"Planned")</f>
        <v>24</v>
      </c>
      <c r="G7" s="13" t="s">
        <v>351</v>
      </c>
    </row>
    <row r="8" ht="48" customHeight="1" spans="1:7" x14ac:dyDescent="0.25">
      <c r="A8" s="9" t="s">
        <v>19</v>
      </c>
      <c r="B8" s="13" t="s">
        <v>20</v>
      </c>
      <c r="C8" s="9">
        <v>20</v>
      </c>
      <c r="D8" s="10">
        <f>Summary!$C$4+7*(C8-1)+4</f>
        <v>46458</v>
      </c>
      <c r="E8" s="9" t="s">
        <v>352</v>
      </c>
      <c r="F8" s="9">
        <f>COUNTIFS(Features!$E$2:$E$72,A8,Features!$H$2:$H$72,"Planned")</f>
        <v>11</v>
      </c>
      <c r="G8" s="13" t="s">
        <v>353</v>
      </c>
    </row>
    <row r="9" ht="48" customHeight="1" spans="1:7" x14ac:dyDescent="0.25">
      <c r="A9" s="9" t="s">
        <v>21</v>
      </c>
      <c r="B9" s="13" t="s">
        <v>22</v>
      </c>
      <c r="C9" s="9">
        <v>24</v>
      </c>
      <c r="D9" s="10">
        <f>Summary!$C$4+7*(C9-1)+4</f>
        <v>46486</v>
      </c>
      <c r="E9" s="9" t="s">
        <v>354</v>
      </c>
      <c r="F9" s="9">
        <f>COUNTIFS(Features!$E$2:$E$72,A9,Features!$H$2:$H$72,"Planned")</f>
        <v>6</v>
      </c>
      <c r="G9" s="13" t="s">
        <v>355</v>
      </c>
    </row>
    <row r="11" spans="1:1" x14ac:dyDescent="0.25">
      <c r="A11" s="53" t="s">
        <v>356</v>
      </c>
    </row>
    <row r="12" spans="1:7" x14ac:dyDescent="0.25">
      <c r="A12" s="8" t="s">
        <v>10</v>
      </c>
      <c r="B12" s="8" t="s">
        <v>71</v>
      </c>
      <c r="C12" s="8" t="s">
        <v>69</v>
      </c>
      <c r="D12" s="8" t="s">
        <v>357</v>
      </c>
      <c r="E12" s="8" t="s">
        <v>70</v>
      </c>
      <c r="F12" s="8" t="s">
        <v>83</v>
      </c>
      <c r="G12" s="8" t="s">
        <v>74</v>
      </c>
    </row>
    <row r="13" spans="1:7" x14ac:dyDescent="0.25">
      <c r="A13" s="9" t="s">
        <v>132</v>
      </c>
      <c r="B13" s="9" t="s">
        <v>130</v>
      </c>
      <c r="C13" s="9" t="s">
        <v>128</v>
      </c>
      <c r="D13" s="9" t="s">
        <v>358</v>
      </c>
      <c r="E13" s="9" t="s">
        <v>129</v>
      </c>
      <c r="F13" s="9" t="s">
        <v>90</v>
      </c>
      <c r="G13" s="9" t="s">
        <v>88</v>
      </c>
    </row>
    <row r="14" spans="1:7" x14ac:dyDescent="0.25">
      <c r="A14" s="9" t="s">
        <v>132</v>
      </c>
      <c r="B14" s="9" t="s">
        <v>163</v>
      </c>
      <c r="C14" s="9" t="s">
        <v>161</v>
      </c>
      <c r="D14" s="9" t="s">
        <v>358</v>
      </c>
      <c r="E14" s="9" t="s">
        <v>162</v>
      </c>
      <c r="F14" s="9" t="s">
        <v>90</v>
      </c>
      <c r="G14" s="9" t="s">
        <v>88</v>
      </c>
    </row>
    <row r="15" spans="1:7" x14ac:dyDescent="0.25">
      <c r="A15" s="9" t="s">
        <v>132</v>
      </c>
      <c r="B15" s="9" t="s">
        <v>181</v>
      </c>
      <c r="C15" s="9" t="s">
        <v>179</v>
      </c>
      <c r="D15" s="9" t="s">
        <v>358</v>
      </c>
      <c r="E15" s="9" t="s">
        <v>180</v>
      </c>
      <c r="F15" s="9" t="s">
        <v>90</v>
      </c>
      <c r="G15" s="9" t="s">
        <v>88</v>
      </c>
    </row>
    <row r="16" spans="1:7" x14ac:dyDescent="0.25">
      <c r="A16" s="9" t="s">
        <v>132</v>
      </c>
      <c r="B16" s="9" t="s">
        <v>184</v>
      </c>
      <c r="C16" s="9" t="s">
        <v>183</v>
      </c>
      <c r="D16" s="9" t="s">
        <v>358</v>
      </c>
      <c r="E16" s="9" t="s">
        <v>180</v>
      </c>
      <c r="F16" s="9" t="s">
        <v>90</v>
      </c>
      <c r="G16" s="9" t="s">
        <v>88</v>
      </c>
    </row>
    <row r="17" spans="1:7" x14ac:dyDescent="0.25">
      <c r="A17" s="9" t="s">
        <v>132</v>
      </c>
      <c r="B17" s="9" t="s">
        <v>187</v>
      </c>
      <c r="C17" s="9" t="s">
        <v>186</v>
      </c>
      <c r="D17" s="9" t="s">
        <v>358</v>
      </c>
      <c r="E17" s="9" t="s">
        <v>180</v>
      </c>
      <c r="F17" s="9" t="s">
        <v>90</v>
      </c>
      <c r="G17" s="9" t="s">
        <v>114</v>
      </c>
    </row>
    <row r="18" spans="1:7" x14ac:dyDescent="0.25">
      <c r="A18" s="9" t="s">
        <v>132</v>
      </c>
      <c r="B18" s="9" t="s">
        <v>190</v>
      </c>
      <c r="C18" s="9" t="s">
        <v>189</v>
      </c>
      <c r="D18" s="9" t="s">
        <v>358</v>
      </c>
      <c r="E18" s="9" t="s">
        <v>180</v>
      </c>
      <c r="F18" s="9" t="s">
        <v>90</v>
      </c>
      <c r="G18" s="9" t="s">
        <v>114</v>
      </c>
    </row>
    <row r="19" spans="1:7" x14ac:dyDescent="0.25">
      <c r="A19" s="9" t="s">
        <v>132</v>
      </c>
      <c r="B19" s="9" t="s">
        <v>237</v>
      </c>
      <c r="C19" s="9" t="s">
        <v>236</v>
      </c>
      <c r="D19" s="9" t="s">
        <v>358</v>
      </c>
      <c r="E19" s="9" t="s">
        <v>233</v>
      </c>
      <c r="F19" s="9" t="s">
        <v>90</v>
      </c>
      <c r="G19" s="9" t="s">
        <v>155</v>
      </c>
    </row>
    <row r="20" spans="1:7" x14ac:dyDescent="0.25">
      <c r="A20" s="9" t="s">
        <v>13</v>
      </c>
      <c r="B20" s="9" t="s">
        <v>86</v>
      </c>
      <c r="C20" s="9" t="s">
        <v>84</v>
      </c>
      <c r="D20" s="54">
        <f>Summary!$C$4+7*(4-1)+4</f>
        <v>46346</v>
      </c>
      <c r="E20" s="9" t="s">
        <v>85</v>
      </c>
      <c r="F20" s="9" t="s">
        <v>92</v>
      </c>
      <c r="G20" s="9" t="s">
        <v>88</v>
      </c>
    </row>
    <row r="21" spans="1:7" x14ac:dyDescent="0.25">
      <c r="A21" s="9" t="s">
        <v>13</v>
      </c>
      <c r="B21" s="9" t="s">
        <v>94</v>
      </c>
      <c r="C21" s="9" t="s">
        <v>93</v>
      </c>
      <c r="D21" s="54">
        <f>Summary!$C$4+7*(4-1)+4</f>
        <v>46346</v>
      </c>
      <c r="E21" s="9" t="s">
        <v>85</v>
      </c>
      <c r="F21" s="9" t="s">
        <v>92</v>
      </c>
      <c r="G21" s="9" t="s">
        <v>88</v>
      </c>
    </row>
    <row r="22" spans="1:7" x14ac:dyDescent="0.25">
      <c r="A22" s="9" t="s">
        <v>13</v>
      </c>
      <c r="B22" s="9" t="s">
        <v>97</v>
      </c>
      <c r="C22" s="9" t="s">
        <v>96</v>
      </c>
      <c r="D22" s="54">
        <f>Summary!$C$4+7*(4-1)+4</f>
        <v>46346</v>
      </c>
      <c r="E22" s="9" t="s">
        <v>85</v>
      </c>
      <c r="F22" s="9" t="s">
        <v>92</v>
      </c>
      <c r="G22" s="9" t="s">
        <v>88</v>
      </c>
    </row>
    <row r="23" spans="1:7" x14ac:dyDescent="0.25">
      <c r="A23" s="9" t="s">
        <v>13</v>
      </c>
      <c r="B23" s="9" t="s">
        <v>100</v>
      </c>
      <c r="C23" s="9" t="s">
        <v>99</v>
      </c>
      <c r="D23" s="54">
        <f>Summary!$C$4+7*(4-1)+4</f>
        <v>46346</v>
      </c>
      <c r="E23" s="9" t="s">
        <v>85</v>
      </c>
      <c r="F23" s="9" t="s">
        <v>92</v>
      </c>
      <c r="G23" s="9" t="s">
        <v>88</v>
      </c>
    </row>
    <row r="24" spans="1:7" x14ac:dyDescent="0.25">
      <c r="A24" s="9" t="s">
        <v>13</v>
      </c>
      <c r="B24" s="9" t="s">
        <v>109</v>
      </c>
      <c r="C24" s="9" t="s">
        <v>108</v>
      </c>
      <c r="D24" s="54">
        <f>Summary!$C$4+7*(4-1)+4</f>
        <v>46346</v>
      </c>
      <c r="E24" s="9" t="s">
        <v>85</v>
      </c>
      <c r="F24" s="9" t="s">
        <v>92</v>
      </c>
      <c r="G24" s="9" t="s">
        <v>88</v>
      </c>
    </row>
    <row r="25" spans="1:7" x14ac:dyDescent="0.25">
      <c r="A25" s="9" t="s">
        <v>13</v>
      </c>
      <c r="B25" s="9" t="s">
        <v>306</v>
      </c>
      <c r="C25" s="9" t="s">
        <v>252</v>
      </c>
      <c r="D25" s="54">
        <f>Summary!$C$4+7*(4-1)+4</f>
        <v>46346</v>
      </c>
      <c r="E25" s="9" t="s">
        <v>303</v>
      </c>
      <c r="F25" s="9" t="s">
        <v>92</v>
      </c>
      <c r="G25" s="9" t="s">
        <v>88</v>
      </c>
    </row>
    <row r="26" spans="1:7" x14ac:dyDescent="0.25">
      <c r="A26" s="9" t="s">
        <v>13</v>
      </c>
      <c r="B26" s="9" t="s">
        <v>321</v>
      </c>
      <c r="C26" s="9" t="s">
        <v>319</v>
      </c>
      <c r="D26" s="54">
        <f>Summary!$C$4+7*(4-1)+4</f>
        <v>46346</v>
      </c>
      <c r="E26" s="9" t="s">
        <v>320</v>
      </c>
      <c r="F26" s="9" t="s">
        <v>92</v>
      </c>
      <c r="G26" s="9" t="s">
        <v>88</v>
      </c>
    </row>
    <row r="27" spans="1:7" x14ac:dyDescent="0.25">
      <c r="A27" s="9" t="s">
        <v>15</v>
      </c>
      <c r="B27" s="9" t="s">
        <v>103</v>
      </c>
      <c r="C27" s="9" t="s">
        <v>102</v>
      </c>
      <c r="D27" s="54">
        <f>Summary!$C$4+7*(8-1)+4</f>
        <v>46374</v>
      </c>
      <c r="E27" s="9" t="s">
        <v>85</v>
      </c>
      <c r="F27" s="9" t="s">
        <v>92</v>
      </c>
      <c r="G27" s="9" t="s">
        <v>88</v>
      </c>
    </row>
    <row r="28" spans="1:7" x14ac:dyDescent="0.25">
      <c r="A28" s="9" t="s">
        <v>15</v>
      </c>
      <c r="B28" s="9" t="s">
        <v>106</v>
      </c>
      <c r="C28" s="9" t="s">
        <v>105</v>
      </c>
      <c r="D28" s="54">
        <f>Summary!$C$4+7*(8-1)+4</f>
        <v>46374</v>
      </c>
      <c r="E28" s="9" t="s">
        <v>85</v>
      </c>
      <c r="F28" s="9" t="s">
        <v>92</v>
      </c>
      <c r="G28" s="9" t="s">
        <v>88</v>
      </c>
    </row>
    <row r="29" spans="1:7" x14ac:dyDescent="0.25">
      <c r="A29" s="9" t="s">
        <v>15</v>
      </c>
      <c r="B29" s="9" t="s">
        <v>112</v>
      </c>
      <c r="C29" s="9" t="s">
        <v>111</v>
      </c>
      <c r="D29" s="54">
        <f>Summary!$C$4+7*(8-1)+4</f>
        <v>46374</v>
      </c>
      <c r="E29" s="9" t="s">
        <v>85</v>
      </c>
      <c r="F29" s="9" t="s">
        <v>92</v>
      </c>
      <c r="G29" s="9" t="s">
        <v>114</v>
      </c>
    </row>
    <row r="30" spans="1:7" x14ac:dyDescent="0.25">
      <c r="A30" s="9" t="s">
        <v>15</v>
      </c>
      <c r="B30" s="9" t="s">
        <v>116</v>
      </c>
      <c r="C30" s="9" t="s">
        <v>115</v>
      </c>
      <c r="D30" s="54">
        <f>Summary!$C$4+7*(8-1)+4</f>
        <v>46374</v>
      </c>
      <c r="E30" s="9" t="s">
        <v>85</v>
      </c>
      <c r="F30" s="9" t="s">
        <v>92</v>
      </c>
      <c r="G30" s="9" t="s">
        <v>88</v>
      </c>
    </row>
    <row r="31" spans="1:7" x14ac:dyDescent="0.25">
      <c r="A31" s="9" t="s">
        <v>15</v>
      </c>
      <c r="B31" s="9" t="s">
        <v>135</v>
      </c>
      <c r="C31" s="9" t="s">
        <v>134</v>
      </c>
      <c r="D31" s="54">
        <f>Summary!$C$4+7*(8-1)+4</f>
        <v>46374</v>
      </c>
      <c r="E31" s="9" t="s">
        <v>129</v>
      </c>
      <c r="F31" s="9" t="s">
        <v>92</v>
      </c>
      <c r="G31" s="9" t="s">
        <v>88</v>
      </c>
    </row>
    <row r="32" spans="1:7" x14ac:dyDescent="0.25">
      <c r="A32" s="9" t="s">
        <v>15</v>
      </c>
      <c r="B32" s="9" t="s">
        <v>139</v>
      </c>
      <c r="C32" s="9" t="s">
        <v>138</v>
      </c>
      <c r="D32" s="54">
        <f>Summary!$C$4+7*(8-1)+4</f>
        <v>46374</v>
      </c>
      <c r="E32" s="9" t="s">
        <v>129</v>
      </c>
      <c r="F32" s="9" t="s">
        <v>92</v>
      </c>
      <c r="G32" s="9" t="s">
        <v>88</v>
      </c>
    </row>
    <row r="33" spans="1:7" x14ac:dyDescent="0.25">
      <c r="A33" s="9" t="s">
        <v>15</v>
      </c>
      <c r="B33" s="9" t="s">
        <v>159</v>
      </c>
      <c r="C33" s="9" t="s">
        <v>151</v>
      </c>
      <c r="D33" s="54">
        <f>Summary!$C$4+7*(8-1)+4</f>
        <v>46374</v>
      </c>
      <c r="E33" s="9" t="s">
        <v>129</v>
      </c>
      <c r="F33" s="9" t="s">
        <v>92</v>
      </c>
      <c r="G33" s="9" t="s">
        <v>88</v>
      </c>
    </row>
    <row r="34" spans="1:7" x14ac:dyDescent="0.25">
      <c r="A34" s="9" t="s">
        <v>15</v>
      </c>
      <c r="B34" s="9" t="s">
        <v>166</v>
      </c>
      <c r="C34" s="9" t="s">
        <v>165</v>
      </c>
      <c r="D34" s="54">
        <f>Summary!$C$4+7*(8-1)+4</f>
        <v>46374</v>
      </c>
      <c r="E34" s="9" t="s">
        <v>162</v>
      </c>
      <c r="F34" s="9" t="s">
        <v>92</v>
      </c>
      <c r="G34" s="9" t="s">
        <v>88</v>
      </c>
    </row>
    <row r="35" spans="1:7" x14ac:dyDescent="0.25">
      <c r="A35" s="9" t="s">
        <v>15</v>
      </c>
      <c r="B35" s="9" t="s">
        <v>169</v>
      </c>
      <c r="C35" s="9" t="s">
        <v>168</v>
      </c>
      <c r="D35" s="54">
        <f>Summary!$C$4+7*(8-1)+4</f>
        <v>46374</v>
      </c>
      <c r="E35" s="9" t="s">
        <v>162</v>
      </c>
      <c r="F35" s="9" t="s">
        <v>92</v>
      </c>
      <c r="G35" s="9" t="s">
        <v>88</v>
      </c>
    </row>
    <row r="36" spans="1:7" x14ac:dyDescent="0.25">
      <c r="A36" s="9" t="s">
        <v>15</v>
      </c>
      <c r="B36" s="9" t="s">
        <v>197</v>
      </c>
      <c r="C36" s="9" t="s">
        <v>196</v>
      </c>
      <c r="D36" s="54">
        <f>Summary!$C$4+7*(8-1)+4</f>
        <v>46374</v>
      </c>
      <c r="E36" s="9" t="s">
        <v>180</v>
      </c>
      <c r="F36" s="9" t="s">
        <v>92</v>
      </c>
      <c r="G36" s="9" t="s">
        <v>88</v>
      </c>
    </row>
    <row r="37" spans="1:7" x14ac:dyDescent="0.25">
      <c r="A37" s="9" t="s">
        <v>15</v>
      </c>
      <c r="B37" s="9" t="s">
        <v>234</v>
      </c>
      <c r="C37" s="9" t="s">
        <v>232</v>
      </c>
      <c r="D37" s="54">
        <f>Summary!$C$4+7*(8-1)+4</f>
        <v>46374</v>
      </c>
      <c r="E37" s="9" t="s">
        <v>233</v>
      </c>
      <c r="F37" s="9" t="s">
        <v>92</v>
      </c>
      <c r="G37" s="9" t="s">
        <v>88</v>
      </c>
    </row>
    <row r="38" spans="1:7" x14ac:dyDescent="0.25">
      <c r="A38" s="9" t="s">
        <v>15</v>
      </c>
      <c r="B38" s="9" t="s">
        <v>240</v>
      </c>
      <c r="C38" s="9" t="s">
        <v>239</v>
      </c>
      <c r="D38" s="54">
        <f>Summary!$C$4+7*(8-1)+4</f>
        <v>46374</v>
      </c>
      <c r="E38" s="9" t="s">
        <v>233</v>
      </c>
      <c r="F38" s="9" t="s">
        <v>92</v>
      </c>
      <c r="G38" s="9" t="s">
        <v>114</v>
      </c>
    </row>
    <row r="39" spans="1:7" x14ac:dyDescent="0.25">
      <c r="A39" s="9" t="s">
        <v>15</v>
      </c>
      <c r="B39" s="9" t="s">
        <v>250</v>
      </c>
      <c r="C39" s="9" t="s">
        <v>248</v>
      </c>
      <c r="D39" s="54">
        <f>Summary!$C$4+7*(8-1)+4</f>
        <v>46374</v>
      </c>
      <c r="E39" s="9" t="s">
        <v>249</v>
      </c>
      <c r="F39" s="9" t="s">
        <v>92</v>
      </c>
      <c r="G39" s="9" t="s">
        <v>88</v>
      </c>
    </row>
    <row r="40" spans="1:7" x14ac:dyDescent="0.25">
      <c r="A40" s="9" t="s">
        <v>15</v>
      </c>
      <c r="B40" s="9" t="s">
        <v>254</v>
      </c>
      <c r="C40" s="9" t="s">
        <v>253</v>
      </c>
      <c r="D40" s="54">
        <f>Summary!$C$4+7*(8-1)+4</f>
        <v>46374</v>
      </c>
      <c r="E40" s="9" t="s">
        <v>249</v>
      </c>
      <c r="F40" s="9" t="s">
        <v>92</v>
      </c>
      <c r="G40" s="9" t="s">
        <v>88</v>
      </c>
    </row>
    <row r="41" spans="1:7" x14ac:dyDescent="0.25">
      <c r="A41" s="9" t="s">
        <v>15</v>
      </c>
      <c r="B41" s="9" t="s">
        <v>304</v>
      </c>
      <c r="C41" s="9" t="s">
        <v>282</v>
      </c>
      <c r="D41" s="54">
        <f>Summary!$C$4+7*(8-1)+4</f>
        <v>46374</v>
      </c>
      <c r="E41" s="9" t="s">
        <v>303</v>
      </c>
      <c r="F41" s="9" t="s">
        <v>92</v>
      </c>
      <c r="G41" s="9" t="s">
        <v>88</v>
      </c>
    </row>
    <row r="42" spans="1:7" x14ac:dyDescent="0.25">
      <c r="A42" s="9" t="s">
        <v>15</v>
      </c>
      <c r="B42" s="9" t="s">
        <v>313</v>
      </c>
      <c r="C42" s="9" t="s">
        <v>312</v>
      </c>
      <c r="D42" s="54">
        <f>Summary!$C$4+7*(8-1)+4</f>
        <v>46374</v>
      </c>
      <c r="E42" s="9" t="s">
        <v>303</v>
      </c>
      <c r="F42" s="9" t="s">
        <v>92</v>
      </c>
      <c r="G42" s="9" t="s">
        <v>88</v>
      </c>
    </row>
    <row r="43" spans="1:7" x14ac:dyDescent="0.25">
      <c r="A43" s="9" t="s">
        <v>17</v>
      </c>
      <c r="B43" s="9" t="s">
        <v>143</v>
      </c>
      <c r="C43" s="9" t="s">
        <v>142</v>
      </c>
      <c r="D43" s="54">
        <f>Summary!$C$4+7*(14-1)+4</f>
        <v>46416</v>
      </c>
      <c r="E43" s="9" t="s">
        <v>129</v>
      </c>
      <c r="F43" s="9" t="s">
        <v>90</v>
      </c>
      <c r="G43" s="9" t="s">
        <v>88</v>
      </c>
    </row>
    <row r="44" spans="1:7" x14ac:dyDescent="0.25">
      <c r="A44" s="9" t="s">
        <v>17</v>
      </c>
      <c r="B44" s="9" t="s">
        <v>146</v>
      </c>
      <c r="C44" s="9" t="s">
        <v>145</v>
      </c>
      <c r="D44" s="54">
        <f>Summary!$C$4+7*(14-1)+4</f>
        <v>46416</v>
      </c>
      <c r="E44" s="9" t="s">
        <v>129</v>
      </c>
      <c r="F44" s="9" t="s">
        <v>90</v>
      </c>
      <c r="G44" s="9" t="s">
        <v>114</v>
      </c>
    </row>
    <row r="45" spans="1:7" x14ac:dyDescent="0.25">
      <c r="A45" s="9" t="s">
        <v>17</v>
      </c>
      <c r="B45" s="9" t="s">
        <v>149</v>
      </c>
      <c r="C45" s="9" t="s">
        <v>148</v>
      </c>
      <c r="D45" s="54">
        <f>Summary!$C$4+7*(14-1)+4</f>
        <v>46416</v>
      </c>
      <c r="E45" s="9" t="s">
        <v>129</v>
      </c>
      <c r="F45" s="9" t="s">
        <v>90</v>
      </c>
      <c r="G45" s="9" t="s">
        <v>88</v>
      </c>
    </row>
    <row r="46" spans="1:7" x14ac:dyDescent="0.25">
      <c r="A46" s="9" t="s">
        <v>17</v>
      </c>
      <c r="B46" s="9" t="s">
        <v>157</v>
      </c>
      <c r="C46" s="9" t="s">
        <v>156</v>
      </c>
      <c r="D46" s="54">
        <f>Summary!$C$4+7*(14-1)+4</f>
        <v>46416</v>
      </c>
      <c r="E46" s="9" t="s">
        <v>129</v>
      </c>
      <c r="F46" s="9" t="s">
        <v>90</v>
      </c>
      <c r="G46" s="9" t="s">
        <v>114</v>
      </c>
    </row>
    <row r="47" spans="1:7" x14ac:dyDescent="0.25">
      <c r="A47" s="9" t="s">
        <v>17</v>
      </c>
      <c r="B47" s="9" t="s">
        <v>173</v>
      </c>
      <c r="C47" s="9" t="s">
        <v>172</v>
      </c>
      <c r="D47" s="54">
        <f>Summary!$C$4+7*(14-1)+4</f>
        <v>46416</v>
      </c>
      <c r="E47" s="9" t="s">
        <v>162</v>
      </c>
      <c r="F47" s="9" t="s">
        <v>90</v>
      </c>
      <c r="G47" s="9" t="s">
        <v>88</v>
      </c>
    </row>
    <row r="48" spans="1:7" x14ac:dyDescent="0.25">
      <c r="A48" s="9" t="s">
        <v>17</v>
      </c>
      <c r="B48" s="9" t="s">
        <v>177</v>
      </c>
      <c r="C48" s="9" t="s">
        <v>176</v>
      </c>
      <c r="D48" s="54">
        <f>Summary!$C$4+7*(14-1)+4</f>
        <v>46416</v>
      </c>
      <c r="E48" s="9" t="s">
        <v>162</v>
      </c>
      <c r="F48" s="9" t="s">
        <v>90</v>
      </c>
      <c r="G48" s="9" t="s">
        <v>114</v>
      </c>
    </row>
    <row r="49" spans="1:7" x14ac:dyDescent="0.25">
      <c r="A49" s="9" t="s">
        <v>17</v>
      </c>
      <c r="B49" s="9" t="s">
        <v>193</v>
      </c>
      <c r="C49" s="9" t="s">
        <v>192</v>
      </c>
      <c r="D49" s="54">
        <f>Summary!$C$4+7*(14-1)+4</f>
        <v>46416</v>
      </c>
      <c r="E49" s="9" t="s">
        <v>180</v>
      </c>
      <c r="F49" s="9" t="s">
        <v>90</v>
      </c>
      <c r="G49" s="9" t="s">
        <v>88</v>
      </c>
    </row>
    <row r="50" spans="1:7" x14ac:dyDescent="0.25">
      <c r="A50" s="9" t="s">
        <v>17</v>
      </c>
      <c r="B50" s="9" t="s">
        <v>201</v>
      </c>
      <c r="C50" s="9" t="s">
        <v>200</v>
      </c>
      <c r="D50" s="54">
        <f>Summary!$C$4+7*(14-1)+4</f>
        <v>46416</v>
      </c>
      <c r="E50" s="9" t="s">
        <v>180</v>
      </c>
      <c r="F50" s="9" t="s">
        <v>90</v>
      </c>
      <c r="G50" s="9" t="s">
        <v>88</v>
      </c>
    </row>
    <row r="51" spans="1:7" x14ac:dyDescent="0.25">
      <c r="A51" s="9" t="s">
        <v>17</v>
      </c>
      <c r="B51" s="9" t="s">
        <v>205</v>
      </c>
      <c r="C51" s="9" t="s">
        <v>204</v>
      </c>
      <c r="D51" s="54">
        <f>Summary!$C$4+7*(14-1)+4</f>
        <v>46416</v>
      </c>
      <c r="E51" s="9" t="s">
        <v>180</v>
      </c>
      <c r="F51" s="9" t="s">
        <v>90</v>
      </c>
      <c r="G51" s="9" t="s">
        <v>114</v>
      </c>
    </row>
    <row r="52" spans="1:7" x14ac:dyDescent="0.25">
      <c r="A52" s="9" t="s">
        <v>17</v>
      </c>
      <c r="B52" s="9" t="s">
        <v>218</v>
      </c>
      <c r="C52" s="9" t="s">
        <v>216</v>
      </c>
      <c r="D52" s="54">
        <f>Summary!$C$4+7*(14-1)+4</f>
        <v>46416</v>
      </c>
      <c r="E52" s="9" t="s">
        <v>217</v>
      </c>
      <c r="F52" s="9" t="s">
        <v>90</v>
      </c>
      <c r="G52" s="9" t="s">
        <v>88</v>
      </c>
    </row>
    <row r="53" spans="1:7" x14ac:dyDescent="0.25">
      <c r="A53" s="9" t="s">
        <v>17</v>
      </c>
      <c r="B53" s="9" t="s">
        <v>220</v>
      </c>
      <c r="C53" s="9" t="s">
        <v>175</v>
      </c>
      <c r="D53" s="54">
        <f>Summary!$C$4+7*(14-1)+4</f>
        <v>46416</v>
      </c>
      <c r="E53" s="9" t="s">
        <v>217</v>
      </c>
      <c r="F53" s="9" t="s">
        <v>90</v>
      </c>
      <c r="G53" s="9" t="s">
        <v>88</v>
      </c>
    </row>
    <row r="54" spans="1:7" x14ac:dyDescent="0.25">
      <c r="A54" s="9" t="s">
        <v>17</v>
      </c>
      <c r="B54" s="9" t="s">
        <v>223</v>
      </c>
      <c r="C54" s="9" t="s">
        <v>222</v>
      </c>
      <c r="D54" s="54">
        <f>Summary!$C$4+7*(14-1)+4</f>
        <v>46416</v>
      </c>
      <c r="E54" s="9" t="s">
        <v>217</v>
      </c>
      <c r="F54" s="9" t="s">
        <v>90</v>
      </c>
      <c r="G54" s="9" t="s">
        <v>88</v>
      </c>
    </row>
    <row r="55" spans="1:7" x14ac:dyDescent="0.25">
      <c r="A55" s="9" t="s">
        <v>17</v>
      </c>
      <c r="B55" s="9" t="s">
        <v>243</v>
      </c>
      <c r="C55" s="9" t="s">
        <v>242</v>
      </c>
      <c r="D55" s="54">
        <f>Summary!$C$4+7*(14-1)+4</f>
        <v>46416</v>
      </c>
      <c r="E55" s="9" t="s">
        <v>233</v>
      </c>
      <c r="F55" s="9" t="s">
        <v>90</v>
      </c>
      <c r="G55" s="9" t="s">
        <v>114</v>
      </c>
    </row>
    <row r="56" spans="1:7" x14ac:dyDescent="0.25">
      <c r="A56" s="9" t="s">
        <v>17</v>
      </c>
      <c r="B56" s="9" t="s">
        <v>257</v>
      </c>
      <c r="C56" s="9" t="s">
        <v>256</v>
      </c>
      <c r="D56" s="54">
        <f>Summary!$C$4+7*(14-1)+4</f>
        <v>46416</v>
      </c>
      <c r="E56" s="9" t="s">
        <v>249</v>
      </c>
      <c r="F56" s="9" t="s">
        <v>90</v>
      </c>
      <c r="G56" s="9" t="s">
        <v>88</v>
      </c>
    </row>
    <row r="57" spans="1:7" x14ac:dyDescent="0.25">
      <c r="A57" s="9" t="s">
        <v>17</v>
      </c>
      <c r="B57" s="9" t="s">
        <v>261</v>
      </c>
      <c r="C57" s="9" t="s">
        <v>260</v>
      </c>
      <c r="D57" s="54">
        <f>Summary!$C$4+7*(14-1)+4</f>
        <v>46416</v>
      </c>
      <c r="E57" s="9" t="s">
        <v>249</v>
      </c>
      <c r="F57" s="9" t="s">
        <v>90</v>
      </c>
      <c r="G57" s="9" t="s">
        <v>88</v>
      </c>
    </row>
    <row r="58" spans="1:7" x14ac:dyDescent="0.25">
      <c r="A58" s="9" t="s">
        <v>17</v>
      </c>
      <c r="B58" s="9" t="s">
        <v>265</v>
      </c>
      <c r="C58" s="9" t="s">
        <v>264</v>
      </c>
      <c r="D58" s="54">
        <f>Summary!$C$4+7*(14-1)+4</f>
        <v>46416</v>
      </c>
      <c r="E58" s="9" t="s">
        <v>249</v>
      </c>
      <c r="F58" s="9" t="s">
        <v>90</v>
      </c>
      <c r="G58" s="9" t="s">
        <v>88</v>
      </c>
    </row>
    <row r="59" spans="1:7" x14ac:dyDescent="0.25">
      <c r="A59" s="9" t="s">
        <v>17</v>
      </c>
      <c r="B59" s="9" t="s">
        <v>268</v>
      </c>
      <c r="C59" s="9" t="s">
        <v>267</v>
      </c>
      <c r="D59" s="54">
        <f>Summary!$C$4+7*(14-1)+4</f>
        <v>46416</v>
      </c>
      <c r="E59" s="9" t="s">
        <v>249</v>
      </c>
      <c r="F59" s="9" t="s">
        <v>90</v>
      </c>
      <c r="G59" s="9" t="s">
        <v>88</v>
      </c>
    </row>
    <row r="60" spans="1:7" x14ac:dyDescent="0.25">
      <c r="A60" s="9" t="s">
        <v>17</v>
      </c>
      <c r="B60" s="9" t="s">
        <v>272</v>
      </c>
      <c r="C60" s="9" t="s">
        <v>271</v>
      </c>
      <c r="D60" s="54">
        <f>Summary!$C$4+7*(14-1)+4</f>
        <v>46416</v>
      </c>
      <c r="E60" s="9" t="s">
        <v>249</v>
      </c>
      <c r="F60" s="9" t="s">
        <v>90</v>
      </c>
      <c r="G60" s="9" t="s">
        <v>114</v>
      </c>
    </row>
    <row r="61" spans="1:7" x14ac:dyDescent="0.25">
      <c r="A61" s="9" t="s">
        <v>17</v>
      </c>
      <c r="B61" s="9" t="s">
        <v>280</v>
      </c>
      <c r="C61" s="9" t="s">
        <v>278</v>
      </c>
      <c r="D61" s="54">
        <f>Summary!$C$4+7*(14-1)+4</f>
        <v>46416</v>
      </c>
      <c r="E61" s="9" t="s">
        <v>279</v>
      </c>
      <c r="F61" s="9" t="s">
        <v>90</v>
      </c>
      <c r="G61" s="9" t="s">
        <v>88</v>
      </c>
    </row>
    <row r="62" spans="1:7" x14ac:dyDescent="0.25">
      <c r="A62" s="9" t="s">
        <v>17</v>
      </c>
      <c r="B62" s="9" t="s">
        <v>284</v>
      </c>
      <c r="C62" s="9" t="s">
        <v>283</v>
      </c>
      <c r="D62" s="54">
        <f>Summary!$C$4+7*(14-1)+4</f>
        <v>46416</v>
      </c>
      <c r="E62" s="9" t="s">
        <v>279</v>
      </c>
      <c r="F62" s="9" t="s">
        <v>90</v>
      </c>
      <c r="G62" s="9" t="s">
        <v>88</v>
      </c>
    </row>
    <row r="63" spans="1:7" x14ac:dyDescent="0.25">
      <c r="A63" s="9" t="s">
        <v>17</v>
      </c>
      <c r="B63" s="9" t="s">
        <v>287</v>
      </c>
      <c r="C63" s="9" t="s">
        <v>286</v>
      </c>
      <c r="D63" s="54">
        <f>Summary!$C$4+7*(14-1)+4</f>
        <v>46416</v>
      </c>
      <c r="E63" s="9" t="s">
        <v>279</v>
      </c>
      <c r="F63" s="9" t="s">
        <v>90</v>
      </c>
      <c r="G63" s="9" t="s">
        <v>88</v>
      </c>
    </row>
    <row r="64" spans="1:7" x14ac:dyDescent="0.25">
      <c r="A64" s="9" t="s">
        <v>17</v>
      </c>
      <c r="B64" s="9" t="s">
        <v>291</v>
      </c>
      <c r="C64" s="9" t="s">
        <v>290</v>
      </c>
      <c r="D64" s="54">
        <f>Summary!$C$4+7*(14-1)+4</f>
        <v>46416</v>
      </c>
      <c r="E64" s="9" t="s">
        <v>279</v>
      </c>
      <c r="F64" s="9" t="s">
        <v>90</v>
      </c>
      <c r="G64" s="9" t="s">
        <v>88</v>
      </c>
    </row>
    <row r="65" spans="1:7" x14ac:dyDescent="0.25">
      <c r="A65" s="9" t="s">
        <v>17</v>
      </c>
      <c r="B65" s="9" t="s">
        <v>295</v>
      </c>
      <c r="C65" s="9" t="s">
        <v>294</v>
      </c>
      <c r="D65" s="54">
        <f>Summary!$C$4+7*(14-1)+4</f>
        <v>46416</v>
      </c>
      <c r="E65" s="9" t="s">
        <v>279</v>
      </c>
      <c r="F65" s="9" t="s">
        <v>90</v>
      </c>
      <c r="G65" s="9" t="s">
        <v>114</v>
      </c>
    </row>
    <row r="66" spans="1:7" x14ac:dyDescent="0.25">
      <c r="A66" s="9" t="s">
        <v>17</v>
      </c>
      <c r="B66" s="9" t="s">
        <v>298</v>
      </c>
      <c r="C66" s="9" t="s">
        <v>297</v>
      </c>
      <c r="D66" s="54">
        <f>Summary!$C$4+7*(14-1)+4</f>
        <v>46416</v>
      </c>
      <c r="E66" s="9" t="s">
        <v>279</v>
      </c>
      <c r="F66" s="9" t="s">
        <v>90</v>
      </c>
      <c r="G66" s="9" t="s">
        <v>88</v>
      </c>
    </row>
    <row r="67" spans="1:7" x14ac:dyDescent="0.25">
      <c r="A67" s="9" t="s">
        <v>19</v>
      </c>
      <c r="B67" s="9" t="s">
        <v>120</v>
      </c>
      <c r="C67" s="9" t="s">
        <v>119</v>
      </c>
      <c r="D67" s="54">
        <f>Summary!$C$4+7*(20-1)+4</f>
        <v>46458</v>
      </c>
      <c r="E67" s="9" t="s">
        <v>85</v>
      </c>
      <c r="F67" s="9" t="s">
        <v>90</v>
      </c>
      <c r="G67" s="9" t="s">
        <v>114</v>
      </c>
    </row>
    <row r="68" spans="1:7" x14ac:dyDescent="0.25">
      <c r="A68" s="9" t="s">
        <v>19</v>
      </c>
      <c r="B68" s="9" t="s">
        <v>153</v>
      </c>
      <c r="C68" s="9" t="s">
        <v>152</v>
      </c>
      <c r="D68" s="54">
        <f>Summary!$C$4+7*(20-1)+4</f>
        <v>46458</v>
      </c>
      <c r="E68" s="9" t="s">
        <v>129</v>
      </c>
      <c r="F68" s="9" t="s">
        <v>90</v>
      </c>
      <c r="G68" s="9" t="s">
        <v>155</v>
      </c>
    </row>
    <row r="69" spans="1:7" x14ac:dyDescent="0.25">
      <c r="A69" s="9" t="s">
        <v>19</v>
      </c>
      <c r="B69" s="9" t="s">
        <v>208</v>
      </c>
      <c r="C69" s="9" t="s">
        <v>207</v>
      </c>
      <c r="D69" s="54">
        <f>Summary!$C$4+7*(20-1)+4</f>
        <v>46458</v>
      </c>
      <c r="E69" s="9" t="s">
        <v>180</v>
      </c>
      <c r="F69" s="9" t="s">
        <v>90</v>
      </c>
      <c r="G69" s="9" t="s">
        <v>114</v>
      </c>
    </row>
    <row r="70" spans="1:7" x14ac:dyDescent="0.25">
      <c r="A70" s="9" t="s">
        <v>19</v>
      </c>
      <c r="B70" s="9" t="s">
        <v>211</v>
      </c>
      <c r="C70" s="9" t="s">
        <v>210</v>
      </c>
      <c r="D70" s="54">
        <f>Summary!$C$4+7*(20-1)+4</f>
        <v>46458</v>
      </c>
      <c r="E70" s="9" t="s">
        <v>180</v>
      </c>
      <c r="F70" s="9" t="s">
        <v>90</v>
      </c>
      <c r="G70" s="9" t="s">
        <v>114</v>
      </c>
    </row>
    <row r="71" spans="1:7" x14ac:dyDescent="0.25">
      <c r="A71" s="9" t="s">
        <v>19</v>
      </c>
      <c r="B71" s="9" t="s">
        <v>214</v>
      </c>
      <c r="C71" s="9" t="s">
        <v>213</v>
      </c>
      <c r="D71" s="54">
        <f>Summary!$C$4+7*(20-1)+4</f>
        <v>46458</v>
      </c>
      <c r="E71" s="9" t="s">
        <v>180</v>
      </c>
      <c r="F71" s="9" t="s">
        <v>90</v>
      </c>
      <c r="G71" s="9" t="s">
        <v>114</v>
      </c>
    </row>
    <row r="72" spans="1:7" x14ac:dyDescent="0.25">
      <c r="A72" s="9" t="s">
        <v>19</v>
      </c>
      <c r="B72" s="9" t="s">
        <v>227</v>
      </c>
      <c r="C72" s="9" t="s">
        <v>226</v>
      </c>
      <c r="D72" s="54">
        <f>Summary!$C$4+7*(20-1)+4</f>
        <v>46458</v>
      </c>
      <c r="E72" s="9" t="s">
        <v>217</v>
      </c>
      <c r="F72" s="9" t="s">
        <v>90</v>
      </c>
      <c r="G72" s="9" t="s">
        <v>114</v>
      </c>
    </row>
    <row r="73" spans="1:7" x14ac:dyDescent="0.25">
      <c r="A73" s="9" t="s">
        <v>19</v>
      </c>
      <c r="B73" s="9" t="s">
        <v>230</v>
      </c>
      <c r="C73" s="9" t="s">
        <v>229</v>
      </c>
      <c r="D73" s="54">
        <f>Summary!$C$4+7*(20-1)+4</f>
        <v>46458</v>
      </c>
      <c r="E73" s="9" t="s">
        <v>217</v>
      </c>
      <c r="F73" s="9" t="s">
        <v>90</v>
      </c>
      <c r="G73" s="9" t="s">
        <v>114</v>
      </c>
    </row>
    <row r="74" spans="1:7" x14ac:dyDescent="0.25">
      <c r="A74" s="9" t="s">
        <v>19</v>
      </c>
      <c r="B74" s="9" t="s">
        <v>246</v>
      </c>
      <c r="C74" s="9" t="s">
        <v>245</v>
      </c>
      <c r="D74" s="54">
        <f>Summary!$C$4+7*(20-1)+4</f>
        <v>46458</v>
      </c>
      <c r="E74" s="9" t="s">
        <v>233</v>
      </c>
      <c r="F74" s="9" t="s">
        <v>90</v>
      </c>
      <c r="G74" s="9" t="s">
        <v>155</v>
      </c>
    </row>
    <row r="75" spans="1:7" x14ac:dyDescent="0.25">
      <c r="A75" s="9" t="s">
        <v>19</v>
      </c>
      <c r="B75" s="9" t="s">
        <v>276</v>
      </c>
      <c r="C75" s="9" t="s">
        <v>275</v>
      </c>
      <c r="D75" s="54">
        <f>Summary!$C$4+7*(20-1)+4</f>
        <v>46458</v>
      </c>
      <c r="E75" s="9" t="s">
        <v>249</v>
      </c>
      <c r="F75" s="9" t="s">
        <v>90</v>
      </c>
      <c r="G75" s="9" t="s">
        <v>114</v>
      </c>
    </row>
    <row r="76" spans="1:7" x14ac:dyDescent="0.25">
      <c r="A76" s="9" t="s">
        <v>19</v>
      </c>
      <c r="B76" s="9" t="s">
        <v>301</v>
      </c>
      <c r="C76" s="9" t="s">
        <v>300</v>
      </c>
      <c r="D76" s="54">
        <f>Summary!$C$4+7*(20-1)+4</f>
        <v>46458</v>
      </c>
      <c r="E76" s="9" t="s">
        <v>279</v>
      </c>
      <c r="F76" s="9" t="s">
        <v>90</v>
      </c>
      <c r="G76" s="9" t="s">
        <v>114</v>
      </c>
    </row>
    <row r="77" spans="1:7" x14ac:dyDescent="0.25">
      <c r="A77" s="9" t="s">
        <v>19</v>
      </c>
      <c r="B77" s="9" t="s">
        <v>309</v>
      </c>
      <c r="C77" s="9" t="s">
        <v>308</v>
      </c>
      <c r="D77" s="54">
        <f>Summary!$C$4+7*(20-1)+4</f>
        <v>46458</v>
      </c>
      <c r="E77" s="9" t="s">
        <v>303</v>
      </c>
      <c r="F77" s="9" t="s">
        <v>90</v>
      </c>
      <c r="G77" s="9" t="s">
        <v>88</v>
      </c>
    </row>
    <row r="78" spans="1:7" x14ac:dyDescent="0.25">
      <c r="A78" s="9" t="s">
        <v>21</v>
      </c>
      <c r="B78" s="9" t="s">
        <v>123</v>
      </c>
      <c r="C78" s="9" t="s">
        <v>122</v>
      </c>
      <c r="D78" s="54">
        <f>Summary!$C$4+7*(24-1)+4</f>
        <v>46486</v>
      </c>
      <c r="E78" s="9" t="s">
        <v>85</v>
      </c>
      <c r="F78" s="9" t="s">
        <v>90</v>
      </c>
      <c r="G78" s="9" t="s">
        <v>88</v>
      </c>
    </row>
    <row r="79" spans="1:7" x14ac:dyDescent="0.25">
      <c r="A79" s="9" t="s">
        <v>21</v>
      </c>
      <c r="B79" s="9" t="s">
        <v>126</v>
      </c>
      <c r="C79" s="9" t="s">
        <v>125</v>
      </c>
      <c r="D79" s="54">
        <f>Summary!$C$4+7*(24-1)+4</f>
        <v>46486</v>
      </c>
      <c r="E79" s="9" t="s">
        <v>85</v>
      </c>
      <c r="F79" s="9" t="s">
        <v>90</v>
      </c>
      <c r="G79" s="9" t="s">
        <v>88</v>
      </c>
    </row>
    <row r="80" spans="1:7" x14ac:dyDescent="0.25">
      <c r="A80" s="9" t="s">
        <v>21</v>
      </c>
      <c r="B80" s="9" t="s">
        <v>317</v>
      </c>
      <c r="C80" s="9" t="s">
        <v>316</v>
      </c>
      <c r="D80" s="54">
        <f>Summary!$C$4+7*(24-1)+4</f>
        <v>46486</v>
      </c>
      <c r="E80" s="9" t="s">
        <v>303</v>
      </c>
      <c r="F80" s="9" t="s">
        <v>90</v>
      </c>
      <c r="G80" s="9" t="s">
        <v>88</v>
      </c>
    </row>
    <row r="81" spans="1:7" x14ac:dyDescent="0.25">
      <c r="A81" s="9" t="s">
        <v>21</v>
      </c>
      <c r="B81" s="9" t="s">
        <v>324</v>
      </c>
      <c r="C81" s="9" t="s">
        <v>323</v>
      </c>
      <c r="D81" s="54">
        <f>Summary!$C$4+7*(24-1)+4</f>
        <v>46486</v>
      </c>
      <c r="E81" s="9" t="s">
        <v>320</v>
      </c>
      <c r="F81" s="9" t="s">
        <v>90</v>
      </c>
      <c r="G81" s="9" t="s">
        <v>114</v>
      </c>
    </row>
    <row r="82" spans="1:7" x14ac:dyDescent="0.25">
      <c r="A82" s="9" t="s">
        <v>21</v>
      </c>
      <c r="B82" s="9" t="s">
        <v>327</v>
      </c>
      <c r="C82" s="9" t="s">
        <v>326</v>
      </c>
      <c r="D82" s="54">
        <f>Summary!$C$4+7*(24-1)+4</f>
        <v>46486</v>
      </c>
      <c r="E82" s="9" t="s">
        <v>320</v>
      </c>
      <c r="F82" s="9" t="s">
        <v>90</v>
      </c>
      <c r="G82" s="9" t="s">
        <v>88</v>
      </c>
    </row>
    <row r="83" spans="1:7" x14ac:dyDescent="0.25">
      <c r="A83" s="9" t="s">
        <v>21</v>
      </c>
      <c r="B83" s="9" t="s">
        <v>331</v>
      </c>
      <c r="C83" s="9" t="s">
        <v>330</v>
      </c>
      <c r="D83" s="54">
        <f>Summary!$C$4+7*(24-1)+4</f>
        <v>46486</v>
      </c>
      <c r="E83" s="9" t="s">
        <v>320</v>
      </c>
      <c r="F83" s="9" t="s">
        <v>90</v>
      </c>
      <c r="G83" s="9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0"/>
  <sheetViews>
    <sheetView workbookViewId="0">
      <pane xSplit="5" ySplit="6" topLeftCell="F7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40" customWidth="1"/>
    <col min="4" max="5" width="7" customWidth="1"/>
    <col min="6" max="31" width="4.6" customWidth="1"/>
  </cols>
  <sheetData>
    <row r="1" spans="1:1" x14ac:dyDescent="0.25">
      <c r="A1" s="30" t="s">
        <v>333</v>
      </c>
    </row>
    <row r="3" ht="46" customHeight="1" spans="2:31" x14ac:dyDescent="0.25">
      <c r="B3" s="31" t="s">
        <v>334</v>
      </c>
      <c r="F3" s="32">
        <f>Summary!$C$4+7*(F4-1)</f>
        <v>46321</v>
      </c>
      <c r="G3" s="32">
        <f>Summary!$C$4+7*(G4-1)</f>
        <v>46328</v>
      </c>
      <c r="H3" s="32">
        <f>Summary!$C$4+7*(H4-1)</f>
        <v>46335</v>
      </c>
      <c r="I3" s="32">
        <f>Summary!$C$4+7*(I4-1)</f>
        <v>46342</v>
      </c>
      <c r="J3" s="32">
        <f>Summary!$C$4+7*(J4-1)</f>
        <v>46349</v>
      </c>
      <c r="K3" s="32">
        <f>Summary!$C$4+7*(K4-1)</f>
        <v>46356</v>
      </c>
      <c r="L3" s="32">
        <f>Summary!$C$4+7*(L4-1)</f>
        <v>46363</v>
      </c>
      <c r="M3" s="32">
        <f>Summary!$C$4+7*(M4-1)</f>
        <v>46370</v>
      </c>
      <c r="N3" s="32">
        <f>Summary!$C$4+7*(N4-1)</f>
        <v>46377</v>
      </c>
      <c r="O3" s="32">
        <f>Summary!$C$4+7*(O4-1)</f>
        <v>46384</v>
      </c>
      <c r="P3" s="32">
        <f>Summary!$C$4+7*(P4-1)</f>
        <v>46391</v>
      </c>
      <c r="Q3" s="32">
        <f>Summary!$C$4+7*(Q4-1)</f>
        <v>46398</v>
      </c>
      <c r="R3" s="32">
        <f>Summary!$C$4+7*(R4-1)</f>
        <v>46405</v>
      </c>
      <c r="S3" s="32">
        <f>Summary!$C$4+7*(S4-1)</f>
        <v>46412</v>
      </c>
      <c r="T3" s="32">
        <f>Summary!$C$4+7*(T4-1)</f>
        <v>46419</v>
      </c>
      <c r="U3" s="32">
        <f>Summary!$C$4+7*(U4-1)</f>
        <v>46426</v>
      </c>
      <c r="V3" s="32">
        <f>Summary!$C$4+7*(V4-1)</f>
        <v>46433</v>
      </c>
      <c r="W3" s="32">
        <f>Summary!$C$4+7*(W4-1)</f>
        <v>46440</v>
      </c>
      <c r="X3" s="32">
        <f>Summary!$C$4+7*(X4-1)</f>
        <v>46447</v>
      </c>
      <c r="Y3" s="32">
        <f>Summary!$C$4+7*(Y4-1)</f>
        <v>46454</v>
      </c>
      <c r="Z3" s="32">
        <f>Summary!$C$4+7*(Z4-1)</f>
        <v>46461</v>
      </c>
      <c r="AA3" s="32">
        <f>Summary!$C$4+7*(AA4-1)</f>
        <v>46468</v>
      </c>
      <c r="AB3" s="32">
        <f>Summary!$C$4+7*(AB4-1)</f>
        <v>46475</v>
      </c>
      <c r="AC3" s="32">
        <f>Summary!$C$4+7*(AC4-1)</f>
        <v>46482</v>
      </c>
      <c r="AD3" s="32">
        <f>Summary!$C$4+7*(AD4-1)</f>
        <v>46489</v>
      </c>
      <c r="AE3" s="32">
        <f>Summary!$C$4+7*(AE4-1)</f>
        <v>46496</v>
      </c>
    </row>
    <row r="4" spans="1:31" x14ac:dyDescent="0.25">
      <c r="A4" s="4" t="s">
        <v>69</v>
      </c>
      <c r="B4" s="4" t="s">
        <v>71</v>
      </c>
      <c r="C4" s="4" t="s">
        <v>10</v>
      </c>
      <c r="D4" s="4" t="s">
        <v>335</v>
      </c>
      <c r="E4" s="4" t="s">
        <v>336</v>
      </c>
      <c r="F4" s="4">
        <v>1</v>
      </c>
      <c r="G4" s="4">
        <v>2</v>
      </c>
      <c r="H4" s="4">
        <v>3</v>
      </c>
      <c r="I4" s="33">
        <v>4</v>
      </c>
      <c r="J4" s="4">
        <v>5</v>
      </c>
      <c r="K4" s="4">
        <v>6</v>
      </c>
      <c r="L4" s="4">
        <v>7</v>
      </c>
      <c r="M4" s="33">
        <v>8</v>
      </c>
      <c r="N4" s="4">
        <v>9</v>
      </c>
      <c r="O4" s="4">
        <v>10</v>
      </c>
      <c r="P4" s="4">
        <v>11</v>
      </c>
      <c r="Q4" s="4">
        <v>12</v>
      </c>
      <c r="R4" s="4">
        <v>13</v>
      </c>
      <c r="S4" s="33">
        <v>14</v>
      </c>
      <c r="T4" s="4">
        <v>15</v>
      </c>
      <c r="U4" s="4">
        <v>16</v>
      </c>
      <c r="V4" s="4">
        <v>17</v>
      </c>
      <c r="W4" s="4">
        <v>18</v>
      </c>
      <c r="X4" s="4">
        <v>19</v>
      </c>
      <c r="Y4" s="33">
        <v>20</v>
      </c>
      <c r="Z4" s="4">
        <v>21</v>
      </c>
      <c r="AA4" s="4">
        <v>22</v>
      </c>
      <c r="AB4" s="4">
        <v>23</v>
      </c>
      <c r="AC4" s="33">
        <v>24</v>
      </c>
      <c r="AD4" s="4">
        <v>25</v>
      </c>
      <c r="AE4" s="4">
        <v>26</v>
      </c>
    </row>
    <row r="5" spans="2:31" x14ac:dyDescent="0.25">
      <c r="B5" s="7" t="s">
        <v>337</v>
      </c>
      <c r="F5" s="34" t="str">
        <f>IF(COUNTIF(Milestones!$C$2:$C$12,F$4)&gt;0,"◆","")</f>
        <v>◆</v>
      </c>
      <c r="G5" s="34" t="str">
        <f>IF(COUNTIF(Milestones!$C$2:$C$12,G$4)&gt;0,"◆","")</f>
        <v/>
      </c>
      <c r="H5" s="34" t="str">
        <f>IF(COUNTIF(Milestones!$C$2:$C$12,H$4)&gt;0,"◆","")</f>
        <v/>
      </c>
      <c r="I5" s="35" t="str">
        <f>IF(COUNTIF(Milestones!$C$2:$C$12,I$4)&gt;0,"◆","")</f>
        <v>◆</v>
      </c>
      <c r="J5" s="34" t="str">
        <f>IF(COUNTIF(Milestones!$C$2:$C$12,J$4)&gt;0,"◆","")</f>
        <v/>
      </c>
      <c r="K5" s="34" t="str">
        <f>IF(COUNTIF(Milestones!$C$2:$C$12,K$4)&gt;0,"◆","")</f>
        <v/>
      </c>
      <c r="L5" s="34" t="str">
        <f>IF(COUNTIF(Milestones!$C$2:$C$12,L$4)&gt;0,"◆","")</f>
        <v>◆</v>
      </c>
      <c r="M5" s="35" t="str">
        <f>IF(COUNTIF(Milestones!$C$2:$C$12,M$4)&gt;0,"◆","")</f>
        <v>◆</v>
      </c>
      <c r="N5" s="34" t="str">
        <f>IF(COUNTIF(Milestones!$C$2:$C$12,N$4)&gt;0,"◆","")</f>
        <v/>
      </c>
      <c r="O5" s="34" t="str">
        <f>IF(COUNTIF(Milestones!$C$2:$C$12,O$4)&gt;0,"◆","")</f>
        <v>◆</v>
      </c>
      <c r="P5" s="34" t="str">
        <f>IF(COUNTIF(Milestones!$C$2:$C$12,P$4)&gt;0,"◆","")</f>
        <v>◆</v>
      </c>
      <c r="Q5" s="34" t="str">
        <f>IF(COUNTIF(Milestones!$C$2:$C$12,Q$4)&gt;0,"◆","")</f>
        <v/>
      </c>
      <c r="R5" s="34" t="str">
        <f>IF(COUNTIF(Milestones!$C$2:$C$12,R$4)&gt;0,"◆","")</f>
        <v/>
      </c>
      <c r="S5" s="35" t="str">
        <f>IF(COUNTIF(Milestones!$C$2:$C$12,S$4)&gt;0,"◆","")</f>
        <v>◆</v>
      </c>
      <c r="T5" s="34" t="str">
        <f>IF(COUNTIF(Milestones!$C$2:$C$12,T$4)&gt;0,"◆","")</f>
        <v/>
      </c>
      <c r="U5" s="34" t="str">
        <f>IF(COUNTIF(Milestones!$C$2:$C$12,U$4)&gt;0,"◆","")</f>
        <v/>
      </c>
      <c r="V5" s="34" t="str">
        <f>IF(COUNTIF(Milestones!$C$2:$C$12,V$4)&gt;0,"◆","")</f>
        <v/>
      </c>
      <c r="W5" s="34" t="str">
        <f>IF(COUNTIF(Milestones!$C$2:$C$12,W$4)&gt;0,"◆","")</f>
        <v/>
      </c>
      <c r="X5" s="34" t="str">
        <f>IF(COUNTIF(Milestones!$C$2:$C$12,X$4)&gt;0,"◆","")</f>
        <v/>
      </c>
      <c r="Y5" s="35" t="str">
        <f>IF(COUNTIF(Milestones!$C$2:$C$12,Y$4)&gt;0,"◆","")</f>
        <v>◆</v>
      </c>
      <c r="Z5" s="34" t="str">
        <f>IF(COUNTIF(Milestones!$C$2:$C$12,Z$4)&gt;0,"◆","")</f>
        <v/>
      </c>
      <c r="AA5" s="34" t="str">
        <f>IF(COUNTIF(Milestones!$C$2:$C$12,AA$4)&gt;0,"◆","")</f>
        <v>◆</v>
      </c>
      <c r="AB5" s="34" t="str">
        <f>IF(COUNTIF(Milestones!$C$2:$C$12,AB$4)&gt;0,"◆","")</f>
        <v/>
      </c>
      <c r="AC5" s="35" t="str">
        <f>IF(COUNTIF(Milestones!$C$2:$C$12,AC$4)&gt;0,"◆","")</f>
        <v>◆</v>
      </c>
      <c r="AD5" s="34" t="str">
        <f>IF(COUNTIF(Milestones!$C$2:$C$12,AD$4)&gt;0,"◆","")</f>
        <v/>
      </c>
      <c r="AE5" s="34" t="str">
        <f>IF(COUNTIF(Milestones!$C$2:$C$12,AE$4)&gt;0,"◆","")</f>
        <v/>
      </c>
    </row>
    <row r="6" spans="2:31" x14ac:dyDescent="0.25">
      <c r="B6" s="7" t="s">
        <v>338</v>
      </c>
      <c r="F6" s="36" t="str">
        <f>IFERROR(INDEX('Release Plan'!$A$5:$A$9,MATCH(F$4,'Release Plan'!$C$5:$C$9,0)),"")</f>
        <v/>
      </c>
      <c r="G6" s="36" t="str">
        <f>IFERROR(INDEX('Release Plan'!$A$5:$A$9,MATCH(G$4,'Release Plan'!$C$5:$C$9,0)),"")</f>
        <v/>
      </c>
      <c r="H6" s="36" t="str">
        <f>IFERROR(INDEX('Release Plan'!$A$5:$A$9,MATCH(H$4,'Release Plan'!$C$5:$C$9,0)),"")</f>
        <v/>
      </c>
      <c r="I6" s="37" t="str">
        <f>IFERROR(INDEX('Release Plan'!$A$5:$A$9,MATCH(I$4,'Release Plan'!$C$5:$C$9,0)),"")</f>
        <v>R0</v>
      </c>
      <c r="J6" s="36" t="str">
        <f>IFERROR(INDEX('Release Plan'!$A$5:$A$9,MATCH(J$4,'Release Plan'!$C$5:$C$9,0)),"")</f>
        <v/>
      </c>
      <c r="K6" s="36" t="str">
        <f>IFERROR(INDEX('Release Plan'!$A$5:$A$9,MATCH(K$4,'Release Plan'!$C$5:$C$9,0)),"")</f>
        <v/>
      </c>
      <c r="L6" s="36" t="str">
        <f>IFERROR(INDEX('Release Plan'!$A$5:$A$9,MATCH(L$4,'Release Plan'!$C$5:$C$9,0)),"")</f>
        <v/>
      </c>
      <c r="M6" s="37" t="str">
        <f>IFERROR(INDEX('Release Plan'!$A$5:$A$9,MATCH(M$4,'Release Plan'!$C$5:$C$9,0)),"")</f>
        <v>MVP</v>
      </c>
      <c r="N6" s="36" t="str">
        <f>IFERROR(INDEX('Release Plan'!$A$5:$A$9,MATCH(N$4,'Release Plan'!$C$5:$C$9,0)),"")</f>
        <v/>
      </c>
      <c r="O6" s="36" t="str">
        <f>IFERROR(INDEX('Release Plan'!$A$5:$A$9,MATCH(O$4,'Release Plan'!$C$5:$C$9,0)),"")</f>
        <v/>
      </c>
      <c r="P6" s="36" t="str">
        <f>IFERROR(INDEX('Release Plan'!$A$5:$A$9,MATCH(P$4,'Release Plan'!$C$5:$C$9,0)),"")</f>
        <v/>
      </c>
      <c r="Q6" s="36" t="str">
        <f>IFERROR(INDEX('Release Plan'!$A$5:$A$9,MATCH(Q$4,'Release Plan'!$C$5:$C$9,0)),"")</f>
        <v/>
      </c>
      <c r="R6" s="36" t="str">
        <f>IFERROR(INDEX('Release Plan'!$A$5:$A$9,MATCH(R$4,'Release Plan'!$C$5:$C$9,0)),"")</f>
        <v/>
      </c>
      <c r="S6" s="37" t="str">
        <f>IFERROR(INDEX('Release Plan'!$A$5:$A$9,MATCH(S$4,'Release Plan'!$C$5:$C$9,0)),"")</f>
        <v>R2</v>
      </c>
      <c r="T6" s="36" t="str">
        <f>IFERROR(INDEX('Release Plan'!$A$5:$A$9,MATCH(T$4,'Release Plan'!$C$5:$C$9,0)),"")</f>
        <v/>
      </c>
      <c r="U6" s="36" t="str">
        <f>IFERROR(INDEX('Release Plan'!$A$5:$A$9,MATCH(U$4,'Release Plan'!$C$5:$C$9,0)),"")</f>
        <v/>
      </c>
      <c r="V6" s="36" t="str">
        <f>IFERROR(INDEX('Release Plan'!$A$5:$A$9,MATCH(V$4,'Release Plan'!$C$5:$C$9,0)),"")</f>
        <v/>
      </c>
      <c r="W6" s="36" t="str">
        <f>IFERROR(INDEX('Release Plan'!$A$5:$A$9,MATCH(W$4,'Release Plan'!$C$5:$C$9,0)),"")</f>
        <v/>
      </c>
      <c r="X6" s="36" t="str">
        <f>IFERROR(INDEX('Release Plan'!$A$5:$A$9,MATCH(X$4,'Release Plan'!$C$5:$C$9,0)),"")</f>
        <v/>
      </c>
      <c r="Y6" s="37" t="str">
        <f>IFERROR(INDEX('Release Plan'!$A$5:$A$9,MATCH(Y$4,'Release Plan'!$C$5:$C$9,0)),"")</f>
        <v>R3</v>
      </c>
      <c r="Z6" s="36" t="str">
        <f>IFERROR(INDEX('Release Plan'!$A$5:$A$9,MATCH(Z$4,'Release Plan'!$C$5:$C$9,0)),"")</f>
        <v/>
      </c>
      <c r="AA6" s="36" t="str">
        <f>IFERROR(INDEX('Release Plan'!$A$5:$A$9,MATCH(AA$4,'Release Plan'!$C$5:$C$9,0)),"")</f>
        <v/>
      </c>
      <c r="AB6" s="36" t="str">
        <f>IFERROR(INDEX('Release Plan'!$A$5:$A$9,MATCH(AB$4,'Release Plan'!$C$5:$C$9,0)),"")</f>
        <v/>
      </c>
      <c r="AC6" s="37" t="str">
        <f>IFERROR(INDEX('Release Plan'!$A$5:$A$9,MATCH(AC$4,'Release Plan'!$C$5:$C$9,0)),"")</f>
        <v>GA</v>
      </c>
      <c r="AD6" s="36" t="str">
        <f>IFERROR(INDEX('Release Plan'!$A$5:$A$9,MATCH(AD$4,'Release Plan'!$C$5:$C$9,0)),"")</f>
        <v/>
      </c>
      <c r="AE6" s="36" t="str">
        <f>IFERROR(INDEX('Release Plan'!$A$5:$A$9,MATCH(AE$4,'Release Plan'!$C$5:$C$9,0)),"")</f>
        <v/>
      </c>
    </row>
    <row r="7" spans="1:29" x14ac:dyDescent="0.25">
      <c r="A7" s="38" t="s">
        <v>85</v>
      </c>
      <c r="B7" s="38"/>
      <c r="C7" s="38"/>
      <c r="D7" s="38"/>
      <c r="E7" s="38"/>
      <c r="I7" s="39"/>
      <c r="M7" s="39"/>
      <c r="S7" s="39"/>
      <c r="Y7" s="39"/>
      <c r="AC7" s="39"/>
    </row>
    <row r="8" spans="1:31" x14ac:dyDescent="0.25">
      <c r="A8" t="str">
        <f>Features!A2</f>
        <v>A1</v>
      </c>
      <c r="B8" t="str">
        <f>Features!C2</f>
        <v>Azure landing zone + IaC</v>
      </c>
      <c r="C8" t="str">
        <f>Features!E2</f>
        <v>R0</v>
      </c>
      <c r="D8">
        <f>Features!I2</f>
        <v>1</v>
      </c>
      <c r="E8">
        <f>Features!J2</f>
        <v>3</v>
      </c>
      <c r="F8" s="40">
        <f>IF(AND(F$4&gt;=$D8,F$4&lt;=$E8),1,"")</f>
        <v>1</v>
      </c>
      <c r="G8" s="40">
        <f>IF(AND(G$4&gt;=$D8,G$4&lt;=$E8),1,"")</f>
        <v>1</v>
      </c>
      <c r="H8" s="40">
        <f>IF(AND(H$4&gt;=$D8,H$4&lt;=$E8),1,"")</f>
        <v>1</v>
      </c>
      <c r="I8" s="41" t="str">
        <f>IF(AND(I$4&gt;=$D8,I$4&lt;=$E8),1,"")</f>
        <v/>
      </c>
      <c r="J8" s="40" t="str">
        <f>IF(AND(J$4&gt;=$D8,J$4&lt;=$E8),1,"")</f>
        <v/>
      </c>
      <c r="K8" s="40" t="str">
        <f>IF(AND(K$4&gt;=$D8,K$4&lt;=$E8),1,"")</f>
        <v/>
      </c>
      <c r="L8" s="40" t="str">
        <f>IF(AND(L$4&gt;=$D8,L$4&lt;=$E8),1,"")</f>
        <v/>
      </c>
      <c r="M8" s="41" t="str">
        <f>IF(AND(M$4&gt;=$D8,M$4&lt;=$E8),1,"")</f>
        <v/>
      </c>
      <c r="N8" s="40" t="str">
        <f>IF(AND(N$4&gt;=$D8,N$4&lt;=$E8),1,"")</f>
        <v/>
      </c>
      <c r="O8" s="40" t="str">
        <f>IF(AND(O$4&gt;=$D8,O$4&lt;=$E8),1,"")</f>
        <v/>
      </c>
      <c r="P8" s="40" t="str">
        <f>IF(AND(P$4&gt;=$D8,P$4&lt;=$E8),1,"")</f>
        <v/>
      </c>
      <c r="Q8" s="40" t="str">
        <f>IF(AND(Q$4&gt;=$D8,Q$4&lt;=$E8),1,"")</f>
        <v/>
      </c>
      <c r="R8" s="40" t="str">
        <f>IF(AND(R$4&gt;=$D8,R$4&lt;=$E8),1,"")</f>
        <v/>
      </c>
      <c r="S8" s="41" t="str">
        <f>IF(AND(S$4&gt;=$D8,S$4&lt;=$E8),1,"")</f>
        <v/>
      </c>
      <c r="T8" s="40" t="str">
        <f>IF(AND(T$4&gt;=$D8,T$4&lt;=$E8),1,"")</f>
        <v/>
      </c>
      <c r="U8" s="40" t="str">
        <f>IF(AND(U$4&gt;=$D8,U$4&lt;=$E8),1,"")</f>
        <v/>
      </c>
      <c r="V8" s="40" t="str">
        <f>IF(AND(V$4&gt;=$D8,V$4&lt;=$E8),1,"")</f>
        <v/>
      </c>
      <c r="W8" s="40" t="str">
        <f>IF(AND(W$4&gt;=$D8,W$4&lt;=$E8),1,"")</f>
        <v/>
      </c>
      <c r="X8" s="40" t="str">
        <f>IF(AND(X$4&gt;=$D8,X$4&lt;=$E8),1,"")</f>
        <v/>
      </c>
      <c r="Y8" s="41" t="str">
        <f>IF(AND(Y$4&gt;=$D8,Y$4&lt;=$E8),1,"")</f>
        <v/>
      </c>
      <c r="Z8" s="40" t="str">
        <f>IF(AND(Z$4&gt;=$D8,Z$4&lt;=$E8),1,"")</f>
        <v/>
      </c>
      <c r="AA8" s="40" t="str">
        <f>IF(AND(AA$4&gt;=$D8,AA$4&lt;=$E8),1,"")</f>
        <v/>
      </c>
      <c r="AB8" s="40" t="str">
        <f>IF(AND(AB$4&gt;=$D8,AB$4&lt;=$E8),1,"")</f>
        <v/>
      </c>
      <c r="AC8" s="41" t="str">
        <f>IF(AND(AC$4&gt;=$D8,AC$4&lt;=$E8),1,"")</f>
        <v/>
      </c>
      <c r="AD8" s="40" t="str">
        <f>IF(AND(AD$4&gt;=$D8,AD$4&lt;=$E8),1,"")</f>
        <v/>
      </c>
      <c r="AE8" s="40" t="str">
        <f>IF(AND(AE$4&gt;=$D8,AE$4&lt;=$E8),1,"")</f>
        <v/>
      </c>
    </row>
    <row r="9" spans="1:31" x14ac:dyDescent="0.25">
      <c r="A9" t="str">
        <f>Features!A3</f>
        <v>A2</v>
      </c>
      <c r="B9" t="str">
        <f>Features!C3</f>
        <v>Azure OpenAI / Foundry deployments</v>
      </c>
      <c r="C9" t="str">
        <f>Features!E3</f>
        <v>R0</v>
      </c>
      <c r="D9">
        <f>Features!I3</f>
        <v>1</v>
      </c>
      <c r="E9">
        <f>Features!J3</f>
        <v>3</v>
      </c>
      <c r="F9" s="40">
        <f>IF(AND(F$4&gt;=$D9,F$4&lt;=$E9),1,"")</f>
        <v>1</v>
      </c>
      <c r="G9" s="40">
        <f>IF(AND(G$4&gt;=$D9,G$4&lt;=$E9),1,"")</f>
        <v>1</v>
      </c>
      <c r="H9" s="40">
        <f>IF(AND(H$4&gt;=$D9,H$4&lt;=$E9),1,"")</f>
        <v>1</v>
      </c>
      <c r="I9" s="41" t="str">
        <f>IF(AND(I$4&gt;=$D9,I$4&lt;=$E9),1,"")</f>
        <v/>
      </c>
      <c r="J9" s="40" t="str">
        <f>IF(AND(J$4&gt;=$D9,J$4&lt;=$E9),1,"")</f>
        <v/>
      </c>
      <c r="K9" s="40" t="str">
        <f>IF(AND(K$4&gt;=$D9,K$4&lt;=$E9),1,"")</f>
        <v/>
      </c>
      <c r="L9" s="40" t="str">
        <f>IF(AND(L$4&gt;=$D9,L$4&lt;=$E9),1,"")</f>
        <v/>
      </c>
      <c r="M9" s="41" t="str">
        <f>IF(AND(M$4&gt;=$D9,M$4&lt;=$E9),1,"")</f>
        <v/>
      </c>
      <c r="N9" s="40" t="str">
        <f>IF(AND(N$4&gt;=$D9,N$4&lt;=$E9),1,"")</f>
        <v/>
      </c>
      <c r="O9" s="40" t="str">
        <f>IF(AND(O$4&gt;=$D9,O$4&lt;=$E9),1,"")</f>
        <v/>
      </c>
      <c r="P9" s="40" t="str">
        <f>IF(AND(P$4&gt;=$D9,P$4&lt;=$E9),1,"")</f>
        <v/>
      </c>
      <c r="Q9" s="40" t="str">
        <f>IF(AND(Q$4&gt;=$D9,Q$4&lt;=$E9),1,"")</f>
        <v/>
      </c>
      <c r="R9" s="40" t="str">
        <f>IF(AND(R$4&gt;=$D9,R$4&lt;=$E9),1,"")</f>
        <v/>
      </c>
      <c r="S9" s="41" t="str">
        <f>IF(AND(S$4&gt;=$D9,S$4&lt;=$E9),1,"")</f>
        <v/>
      </c>
      <c r="T9" s="40" t="str">
        <f>IF(AND(T$4&gt;=$D9,T$4&lt;=$E9),1,"")</f>
        <v/>
      </c>
      <c r="U9" s="40" t="str">
        <f>IF(AND(U$4&gt;=$D9,U$4&lt;=$E9),1,"")</f>
        <v/>
      </c>
      <c r="V9" s="40" t="str">
        <f>IF(AND(V$4&gt;=$D9,V$4&lt;=$E9),1,"")</f>
        <v/>
      </c>
      <c r="W9" s="40" t="str">
        <f>IF(AND(W$4&gt;=$D9,W$4&lt;=$E9),1,"")</f>
        <v/>
      </c>
      <c r="X9" s="40" t="str">
        <f>IF(AND(X$4&gt;=$D9,X$4&lt;=$E9),1,"")</f>
        <v/>
      </c>
      <c r="Y9" s="41" t="str">
        <f>IF(AND(Y$4&gt;=$D9,Y$4&lt;=$E9),1,"")</f>
        <v/>
      </c>
      <c r="Z9" s="40" t="str">
        <f>IF(AND(Z$4&gt;=$D9,Z$4&lt;=$E9),1,"")</f>
        <v/>
      </c>
      <c r="AA9" s="40" t="str">
        <f>IF(AND(AA$4&gt;=$D9,AA$4&lt;=$E9),1,"")</f>
        <v/>
      </c>
      <c r="AB9" s="40" t="str">
        <f>IF(AND(AB$4&gt;=$D9,AB$4&lt;=$E9),1,"")</f>
        <v/>
      </c>
      <c r="AC9" s="41" t="str">
        <f>IF(AND(AC$4&gt;=$D9,AC$4&lt;=$E9),1,"")</f>
        <v/>
      </c>
      <c r="AD9" s="40" t="str">
        <f>IF(AND(AD$4&gt;=$D9,AD$4&lt;=$E9),1,"")</f>
        <v/>
      </c>
      <c r="AE9" s="40" t="str">
        <f>IF(AND(AE$4&gt;=$D9,AE$4&lt;=$E9),1,"")</f>
        <v/>
      </c>
    </row>
    <row r="10" spans="1:31" x14ac:dyDescent="0.25">
      <c r="A10" t="str">
        <f>Features!A4</f>
        <v>A3</v>
      </c>
      <c r="B10" t="str">
        <f>Features!C4</f>
        <v>Azure AI Search + index schema v2</v>
      </c>
      <c r="C10" t="str">
        <f>Features!E4</f>
        <v>R0</v>
      </c>
      <c r="D10">
        <f>Features!I4</f>
        <v>2</v>
      </c>
      <c r="E10">
        <f>Features!J4</f>
        <v>4</v>
      </c>
      <c r="F10" s="40" t="str">
        <f>IF(AND(F$4&gt;=$D10,F$4&lt;=$E10),1,"")</f>
        <v/>
      </c>
      <c r="G10" s="40">
        <f>IF(AND(G$4&gt;=$D10,G$4&lt;=$E10),1,"")</f>
        <v>1</v>
      </c>
      <c r="H10" s="40">
        <f>IF(AND(H$4&gt;=$D10,H$4&lt;=$E10),1,"")</f>
        <v>1</v>
      </c>
      <c r="I10" s="41">
        <f>IF(AND(I$4&gt;=$D10,I$4&lt;=$E10),1,"")</f>
        <v>1</v>
      </c>
      <c r="J10" s="40" t="str">
        <f>IF(AND(J$4&gt;=$D10,J$4&lt;=$E10),1,"")</f>
        <v/>
      </c>
      <c r="K10" s="40" t="str">
        <f>IF(AND(K$4&gt;=$D10,K$4&lt;=$E10),1,"")</f>
        <v/>
      </c>
      <c r="L10" s="40" t="str">
        <f>IF(AND(L$4&gt;=$D10,L$4&lt;=$E10),1,"")</f>
        <v/>
      </c>
      <c r="M10" s="41" t="str">
        <f>IF(AND(M$4&gt;=$D10,M$4&lt;=$E10),1,"")</f>
        <v/>
      </c>
      <c r="N10" s="40" t="str">
        <f>IF(AND(N$4&gt;=$D10,N$4&lt;=$E10),1,"")</f>
        <v/>
      </c>
      <c r="O10" s="40" t="str">
        <f>IF(AND(O$4&gt;=$D10,O$4&lt;=$E10),1,"")</f>
        <v/>
      </c>
      <c r="P10" s="40" t="str">
        <f>IF(AND(P$4&gt;=$D10,P$4&lt;=$E10),1,"")</f>
        <v/>
      </c>
      <c r="Q10" s="40" t="str">
        <f>IF(AND(Q$4&gt;=$D10,Q$4&lt;=$E10),1,"")</f>
        <v/>
      </c>
      <c r="R10" s="40" t="str">
        <f>IF(AND(R$4&gt;=$D10,R$4&lt;=$E10),1,"")</f>
        <v/>
      </c>
      <c r="S10" s="41" t="str">
        <f>IF(AND(S$4&gt;=$D10,S$4&lt;=$E10),1,"")</f>
        <v/>
      </c>
      <c r="T10" s="40" t="str">
        <f>IF(AND(T$4&gt;=$D10,T$4&lt;=$E10),1,"")</f>
        <v/>
      </c>
      <c r="U10" s="40" t="str">
        <f>IF(AND(U$4&gt;=$D10,U$4&lt;=$E10),1,"")</f>
        <v/>
      </c>
      <c r="V10" s="40" t="str">
        <f>IF(AND(V$4&gt;=$D10,V$4&lt;=$E10),1,"")</f>
        <v/>
      </c>
      <c r="W10" s="40" t="str">
        <f>IF(AND(W$4&gt;=$D10,W$4&lt;=$E10),1,"")</f>
        <v/>
      </c>
      <c r="X10" s="40" t="str">
        <f>IF(AND(X$4&gt;=$D10,X$4&lt;=$E10),1,"")</f>
        <v/>
      </c>
      <c r="Y10" s="41" t="str">
        <f>IF(AND(Y$4&gt;=$D10,Y$4&lt;=$E10),1,"")</f>
        <v/>
      </c>
      <c r="Z10" s="40" t="str">
        <f>IF(AND(Z$4&gt;=$D10,Z$4&lt;=$E10),1,"")</f>
        <v/>
      </c>
      <c r="AA10" s="40" t="str">
        <f>IF(AND(AA$4&gt;=$D10,AA$4&lt;=$E10),1,"")</f>
        <v/>
      </c>
      <c r="AB10" s="40" t="str">
        <f>IF(AND(AB$4&gt;=$D10,AB$4&lt;=$E10),1,"")</f>
        <v/>
      </c>
      <c r="AC10" s="41" t="str">
        <f>IF(AND(AC$4&gt;=$D10,AC$4&lt;=$E10),1,"")</f>
        <v/>
      </c>
      <c r="AD10" s="40" t="str">
        <f>IF(AND(AD$4&gt;=$D10,AD$4&lt;=$E10),1,"")</f>
        <v/>
      </c>
      <c r="AE10" s="40" t="str">
        <f>IF(AND(AE$4&gt;=$D10,AE$4&lt;=$E10),1,"")</f>
        <v/>
      </c>
    </row>
    <row r="11" spans="1:31" x14ac:dyDescent="0.25">
      <c r="A11" t="str">
        <f>Features!A5</f>
        <v>A4</v>
      </c>
      <c r="B11" t="str">
        <f>Features!C5</f>
        <v>Containerize services</v>
      </c>
      <c r="C11" t="str">
        <f>Features!E5</f>
        <v>R0</v>
      </c>
      <c r="D11">
        <f>Features!I5</f>
        <v>3</v>
      </c>
      <c r="E11">
        <f>Features!J5</f>
        <v>4</v>
      </c>
      <c r="F11" s="40" t="str">
        <f>IF(AND(F$4&gt;=$D11,F$4&lt;=$E11),1,"")</f>
        <v/>
      </c>
      <c r="G11" s="40" t="str">
        <f>IF(AND(G$4&gt;=$D11,G$4&lt;=$E11),1,"")</f>
        <v/>
      </c>
      <c r="H11" s="40">
        <f>IF(AND(H$4&gt;=$D11,H$4&lt;=$E11),1,"")</f>
        <v>1</v>
      </c>
      <c r="I11" s="41">
        <f>IF(AND(I$4&gt;=$D11,I$4&lt;=$E11),1,"")</f>
        <v>1</v>
      </c>
      <c r="J11" s="40" t="str">
        <f>IF(AND(J$4&gt;=$D11,J$4&lt;=$E11),1,"")</f>
        <v/>
      </c>
      <c r="K11" s="40" t="str">
        <f>IF(AND(K$4&gt;=$D11,K$4&lt;=$E11),1,"")</f>
        <v/>
      </c>
      <c r="L11" s="40" t="str">
        <f>IF(AND(L$4&gt;=$D11,L$4&lt;=$E11),1,"")</f>
        <v/>
      </c>
      <c r="M11" s="41" t="str">
        <f>IF(AND(M$4&gt;=$D11,M$4&lt;=$E11),1,"")</f>
        <v/>
      </c>
      <c r="N11" s="40" t="str">
        <f>IF(AND(N$4&gt;=$D11,N$4&lt;=$E11),1,"")</f>
        <v/>
      </c>
      <c r="O11" s="40" t="str">
        <f>IF(AND(O$4&gt;=$D11,O$4&lt;=$E11),1,"")</f>
        <v/>
      </c>
      <c r="P11" s="40" t="str">
        <f>IF(AND(P$4&gt;=$D11,P$4&lt;=$E11),1,"")</f>
        <v/>
      </c>
      <c r="Q11" s="40" t="str">
        <f>IF(AND(Q$4&gt;=$D11,Q$4&lt;=$E11),1,"")</f>
        <v/>
      </c>
      <c r="R11" s="40" t="str">
        <f>IF(AND(R$4&gt;=$D11,R$4&lt;=$E11),1,"")</f>
        <v/>
      </c>
      <c r="S11" s="41" t="str">
        <f>IF(AND(S$4&gt;=$D11,S$4&lt;=$E11),1,"")</f>
        <v/>
      </c>
      <c r="T11" s="40" t="str">
        <f>IF(AND(T$4&gt;=$D11,T$4&lt;=$E11),1,"")</f>
        <v/>
      </c>
      <c r="U11" s="40" t="str">
        <f>IF(AND(U$4&gt;=$D11,U$4&lt;=$E11),1,"")</f>
        <v/>
      </c>
      <c r="V11" s="40" t="str">
        <f>IF(AND(V$4&gt;=$D11,V$4&lt;=$E11),1,"")</f>
        <v/>
      </c>
      <c r="W11" s="40" t="str">
        <f>IF(AND(W$4&gt;=$D11,W$4&lt;=$E11),1,"")</f>
        <v/>
      </c>
      <c r="X11" s="40" t="str">
        <f>IF(AND(X$4&gt;=$D11,X$4&lt;=$E11),1,"")</f>
        <v/>
      </c>
      <c r="Y11" s="41" t="str">
        <f>IF(AND(Y$4&gt;=$D11,Y$4&lt;=$E11),1,"")</f>
        <v/>
      </c>
      <c r="Z11" s="40" t="str">
        <f>IF(AND(Z$4&gt;=$D11,Z$4&lt;=$E11),1,"")</f>
        <v/>
      </c>
      <c r="AA11" s="40" t="str">
        <f>IF(AND(AA$4&gt;=$D11,AA$4&lt;=$E11),1,"")</f>
        <v/>
      </c>
      <c r="AB11" s="40" t="str">
        <f>IF(AND(AB$4&gt;=$D11,AB$4&lt;=$E11),1,"")</f>
        <v/>
      </c>
      <c r="AC11" s="41" t="str">
        <f>IF(AND(AC$4&gt;=$D11,AC$4&lt;=$E11),1,"")</f>
        <v/>
      </c>
      <c r="AD11" s="40" t="str">
        <f>IF(AND(AD$4&gt;=$D11,AD$4&lt;=$E11),1,"")</f>
        <v/>
      </c>
      <c r="AE11" s="40" t="str">
        <f>IF(AND(AE$4&gt;=$D11,AE$4&lt;=$E11),1,"")</f>
        <v/>
      </c>
    </row>
    <row r="12" spans="1:31" x14ac:dyDescent="0.25">
      <c r="A12" t="str">
        <f>Features!A6</f>
        <v>A5</v>
      </c>
      <c r="B12" t="str">
        <f>Features!C6</f>
        <v>Container Apps env + APIM + Front Door</v>
      </c>
      <c r="C12" t="str">
        <f>Features!E6</f>
        <v>MVP</v>
      </c>
      <c r="D12">
        <f>Features!I6</f>
        <v>4</v>
      </c>
      <c r="E12">
        <f>Features!J6</f>
        <v>6</v>
      </c>
      <c r="F12" s="40" t="str">
        <f>IF(AND(F$4&gt;=$D12,F$4&lt;=$E12),1,"")</f>
        <v/>
      </c>
      <c r="G12" s="40" t="str">
        <f>IF(AND(G$4&gt;=$D12,G$4&lt;=$E12),1,"")</f>
        <v/>
      </c>
      <c r="H12" s="40" t="str">
        <f>IF(AND(H$4&gt;=$D12,H$4&lt;=$E12),1,"")</f>
        <v/>
      </c>
      <c r="I12" s="41">
        <f>IF(AND(I$4&gt;=$D12,I$4&lt;=$E12),1,"")</f>
        <v>1</v>
      </c>
      <c r="J12" s="40">
        <f>IF(AND(J$4&gt;=$D12,J$4&lt;=$E12),1,"")</f>
        <v>1</v>
      </c>
      <c r="K12" s="40">
        <f>IF(AND(K$4&gt;=$D12,K$4&lt;=$E12),1,"")</f>
        <v>1</v>
      </c>
      <c r="L12" s="40" t="str">
        <f>IF(AND(L$4&gt;=$D12,L$4&lt;=$E12),1,"")</f>
        <v/>
      </c>
      <c r="M12" s="41" t="str">
        <f>IF(AND(M$4&gt;=$D12,M$4&lt;=$E12),1,"")</f>
        <v/>
      </c>
      <c r="N12" s="40" t="str">
        <f>IF(AND(N$4&gt;=$D12,N$4&lt;=$E12),1,"")</f>
        <v/>
      </c>
      <c r="O12" s="40" t="str">
        <f>IF(AND(O$4&gt;=$D12,O$4&lt;=$E12),1,"")</f>
        <v/>
      </c>
      <c r="P12" s="40" t="str">
        <f>IF(AND(P$4&gt;=$D12,P$4&lt;=$E12),1,"")</f>
        <v/>
      </c>
      <c r="Q12" s="40" t="str">
        <f>IF(AND(Q$4&gt;=$D12,Q$4&lt;=$E12),1,"")</f>
        <v/>
      </c>
      <c r="R12" s="40" t="str">
        <f>IF(AND(R$4&gt;=$D12,R$4&lt;=$E12),1,"")</f>
        <v/>
      </c>
      <c r="S12" s="41" t="str">
        <f>IF(AND(S$4&gt;=$D12,S$4&lt;=$E12),1,"")</f>
        <v/>
      </c>
      <c r="T12" s="40" t="str">
        <f>IF(AND(T$4&gt;=$D12,T$4&lt;=$E12),1,"")</f>
        <v/>
      </c>
      <c r="U12" s="40" t="str">
        <f>IF(AND(U$4&gt;=$D12,U$4&lt;=$E12),1,"")</f>
        <v/>
      </c>
      <c r="V12" s="40" t="str">
        <f>IF(AND(V$4&gt;=$D12,V$4&lt;=$E12),1,"")</f>
        <v/>
      </c>
      <c r="W12" s="40" t="str">
        <f>IF(AND(W$4&gt;=$D12,W$4&lt;=$E12),1,"")</f>
        <v/>
      </c>
      <c r="X12" s="40" t="str">
        <f>IF(AND(X$4&gt;=$D12,X$4&lt;=$E12),1,"")</f>
        <v/>
      </c>
      <c r="Y12" s="41" t="str">
        <f>IF(AND(Y$4&gt;=$D12,Y$4&lt;=$E12),1,"")</f>
        <v/>
      </c>
      <c r="Z12" s="40" t="str">
        <f>IF(AND(Z$4&gt;=$D12,Z$4&lt;=$E12),1,"")</f>
        <v/>
      </c>
      <c r="AA12" s="40" t="str">
        <f>IF(AND(AA$4&gt;=$D12,AA$4&lt;=$E12),1,"")</f>
        <v/>
      </c>
      <c r="AB12" s="40" t="str">
        <f>IF(AND(AB$4&gt;=$D12,AB$4&lt;=$E12),1,"")</f>
        <v/>
      </c>
      <c r="AC12" s="41" t="str">
        <f>IF(AND(AC$4&gt;=$D12,AC$4&lt;=$E12),1,"")</f>
        <v/>
      </c>
      <c r="AD12" s="40" t="str">
        <f>IF(AND(AD$4&gt;=$D12,AD$4&lt;=$E12),1,"")</f>
        <v/>
      </c>
      <c r="AE12" s="40" t="str">
        <f>IF(AND(AE$4&gt;=$D12,AE$4&lt;=$E12),1,"")</f>
        <v/>
      </c>
    </row>
    <row r="13" spans="1:31" x14ac:dyDescent="0.25">
      <c r="A13" t="str">
        <f>Features!A7</f>
        <v>A6</v>
      </c>
      <c r="B13" t="str">
        <f>Features!C7</f>
        <v>Entra ID auth + managed identity</v>
      </c>
      <c r="C13" t="str">
        <f>Features!E7</f>
        <v>MVP</v>
      </c>
      <c r="D13">
        <f>Features!I7</f>
        <v>4</v>
      </c>
      <c r="E13">
        <f>Features!J7</f>
        <v>7</v>
      </c>
      <c r="F13" s="40" t="str">
        <f>IF(AND(F$4&gt;=$D13,F$4&lt;=$E13),1,"")</f>
        <v/>
      </c>
      <c r="G13" s="40" t="str">
        <f>IF(AND(G$4&gt;=$D13,G$4&lt;=$E13),1,"")</f>
        <v/>
      </c>
      <c r="H13" s="40" t="str">
        <f>IF(AND(H$4&gt;=$D13,H$4&lt;=$E13),1,"")</f>
        <v/>
      </c>
      <c r="I13" s="41">
        <f>IF(AND(I$4&gt;=$D13,I$4&lt;=$E13),1,"")</f>
        <v>1</v>
      </c>
      <c r="J13" s="40">
        <f>IF(AND(J$4&gt;=$D13,J$4&lt;=$E13),1,"")</f>
        <v>1</v>
      </c>
      <c r="K13" s="40">
        <f>IF(AND(K$4&gt;=$D13,K$4&lt;=$E13),1,"")</f>
        <v>1</v>
      </c>
      <c r="L13" s="40">
        <f>IF(AND(L$4&gt;=$D13,L$4&lt;=$E13),1,"")</f>
        <v>1</v>
      </c>
      <c r="M13" s="41" t="str">
        <f>IF(AND(M$4&gt;=$D13,M$4&lt;=$E13),1,"")</f>
        <v/>
      </c>
      <c r="N13" s="40" t="str">
        <f>IF(AND(N$4&gt;=$D13,N$4&lt;=$E13),1,"")</f>
        <v/>
      </c>
      <c r="O13" s="40" t="str">
        <f>IF(AND(O$4&gt;=$D13,O$4&lt;=$E13),1,"")</f>
        <v/>
      </c>
      <c r="P13" s="40" t="str">
        <f>IF(AND(P$4&gt;=$D13,P$4&lt;=$E13),1,"")</f>
        <v/>
      </c>
      <c r="Q13" s="40" t="str">
        <f>IF(AND(Q$4&gt;=$D13,Q$4&lt;=$E13),1,"")</f>
        <v/>
      </c>
      <c r="R13" s="40" t="str">
        <f>IF(AND(R$4&gt;=$D13,R$4&lt;=$E13),1,"")</f>
        <v/>
      </c>
      <c r="S13" s="41" t="str">
        <f>IF(AND(S$4&gt;=$D13,S$4&lt;=$E13),1,"")</f>
        <v/>
      </c>
      <c r="T13" s="40" t="str">
        <f>IF(AND(T$4&gt;=$D13,T$4&lt;=$E13),1,"")</f>
        <v/>
      </c>
      <c r="U13" s="40" t="str">
        <f>IF(AND(U$4&gt;=$D13,U$4&lt;=$E13),1,"")</f>
        <v/>
      </c>
      <c r="V13" s="40" t="str">
        <f>IF(AND(V$4&gt;=$D13,V$4&lt;=$E13),1,"")</f>
        <v/>
      </c>
      <c r="W13" s="40" t="str">
        <f>IF(AND(W$4&gt;=$D13,W$4&lt;=$E13),1,"")</f>
        <v/>
      </c>
      <c r="X13" s="40" t="str">
        <f>IF(AND(X$4&gt;=$D13,X$4&lt;=$E13),1,"")</f>
        <v/>
      </c>
      <c r="Y13" s="41" t="str">
        <f>IF(AND(Y$4&gt;=$D13,Y$4&lt;=$E13),1,"")</f>
        <v/>
      </c>
      <c r="Z13" s="40" t="str">
        <f>IF(AND(Z$4&gt;=$D13,Z$4&lt;=$E13),1,"")</f>
        <v/>
      </c>
      <c r="AA13" s="40" t="str">
        <f>IF(AND(AA$4&gt;=$D13,AA$4&lt;=$E13),1,"")</f>
        <v/>
      </c>
      <c r="AB13" s="40" t="str">
        <f>IF(AND(AB$4&gt;=$D13,AB$4&lt;=$E13),1,"")</f>
        <v/>
      </c>
      <c r="AC13" s="41" t="str">
        <f>IF(AND(AC$4&gt;=$D13,AC$4&lt;=$E13),1,"")</f>
        <v/>
      </c>
      <c r="AD13" s="40" t="str">
        <f>IF(AND(AD$4&gt;=$D13,AD$4&lt;=$E13),1,"")</f>
        <v/>
      </c>
      <c r="AE13" s="40" t="str">
        <f>IF(AND(AE$4&gt;=$D13,AE$4&lt;=$E13),1,"")</f>
        <v/>
      </c>
    </row>
    <row r="14" spans="1:31" x14ac:dyDescent="0.25">
      <c r="A14" t="str">
        <f>Features!A8</f>
        <v>A7</v>
      </c>
      <c r="B14" t="str">
        <f>Features!C8</f>
        <v>CI/CD pipelines</v>
      </c>
      <c r="C14" t="str">
        <f>Features!E8</f>
        <v>R0</v>
      </c>
      <c r="D14">
        <f>Features!I8</f>
        <v>3</v>
      </c>
      <c r="E14">
        <f>Features!J8</f>
        <v>4</v>
      </c>
      <c r="F14" s="40" t="str">
        <f>IF(AND(F$4&gt;=$D14,F$4&lt;=$E14),1,"")</f>
        <v/>
      </c>
      <c r="G14" s="40" t="str">
        <f>IF(AND(G$4&gt;=$D14,G$4&lt;=$E14),1,"")</f>
        <v/>
      </c>
      <c r="H14" s="40">
        <f>IF(AND(H$4&gt;=$D14,H$4&lt;=$E14),1,"")</f>
        <v>1</v>
      </c>
      <c r="I14" s="41">
        <f>IF(AND(I$4&gt;=$D14,I$4&lt;=$E14),1,"")</f>
        <v>1</v>
      </c>
      <c r="J14" s="40" t="str">
        <f>IF(AND(J$4&gt;=$D14,J$4&lt;=$E14),1,"")</f>
        <v/>
      </c>
      <c r="K14" s="40" t="str">
        <f>IF(AND(K$4&gt;=$D14,K$4&lt;=$E14),1,"")</f>
        <v/>
      </c>
      <c r="L14" s="40" t="str">
        <f>IF(AND(L$4&gt;=$D14,L$4&lt;=$E14),1,"")</f>
        <v/>
      </c>
      <c r="M14" s="41" t="str">
        <f>IF(AND(M$4&gt;=$D14,M$4&lt;=$E14),1,"")</f>
        <v/>
      </c>
      <c r="N14" s="40" t="str">
        <f>IF(AND(N$4&gt;=$D14,N$4&lt;=$E14),1,"")</f>
        <v/>
      </c>
      <c r="O14" s="40" t="str">
        <f>IF(AND(O$4&gt;=$D14,O$4&lt;=$E14),1,"")</f>
        <v/>
      </c>
      <c r="P14" s="40" t="str">
        <f>IF(AND(P$4&gt;=$D14,P$4&lt;=$E14),1,"")</f>
        <v/>
      </c>
      <c r="Q14" s="40" t="str">
        <f>IF(AND(Q$4&gt;=$D14,Q$4&lt;=$E14),1,"")</f>
        <v/>
      </c>
      <c r="R14" s="40" t="str">
        <f>IF(AND(R$4&gt;=$D14,R$4&lt;=$E14),1,"")</f>
        <v/>
      </c>
      <c r="S14" s="41" t="str">
        <f>IF(AND(S$4&gt;=$D14,S$4&lt;=$E14),1,"")</f>
        <v/>
      </c>
      <c r="T14" s="40" t="str">
        <f>IF(AND(T$4&gt;=$D14,T$4&lt;=$E14),1,"")</f>
        <v/>
      </c>
      <c r="U14" s="40" t="str">
        <f>IF(AND(U$4&gt;=$D14,U$4&lt;=$E14),1,"")</f>
        <v/>
      </c>
      <c r="V14" s="40" t="str">
        <f>IF(AND(V$4&gt;=$D14,V$4&lt;=$E14),1,"")</f>
        <v/>
      </c>
      <c r="W14" s="40" t="str">
        <f>IF(AND(W$4&gt;=$D14,W$4&lt;=$E14),1,"")</f>
        <v/>
      </c>
      <c r="X14" s="40" t="str">
        <f>IF(AND(X$4&gt;=$D14,X$4&lt;=$E14),1,"")</f>
        <v/>
      </c>
      <c r="Y14" s="41" t="str">
        <f>IF(AND(Y$4&gt;=$D14,Y$4&lt;=$E14),1,"")</f>
        <v/>
      </c>
      <c r="Z14" s="40" t="str">
        <f>IF(AND(Z$4&gt;=$D14,Z$4&lt;=$E14),1,"")</f>
        <v/>
      </c>
      <c r="AA14" s="40" t="str">
        <f>IF(AND(AA$4&gt;=$D14,AA$4&lt;=$E14),1,"")</f>
        <v/>
      </c>
      <c r="AB14" s="40" t="str">
        <f>IF(AND(AB$4&gt;=$D14,AB$4&lt;=$E14),1,"")</f>
        <v/>
      </c>
      <c r="AC14" s="41" t="str">
        <f>IF(AND(AC$4&gt;=$D14,AC$4&lt;=$E14),1,"")</f>
        <v/>
      </c>
      <c r="AD14" s="40" t="str">
        <f>IF(AND(AD$4&gt;=$D14,AD$4&lt;=$E14),1,"")</f>
        <v/>
      </c>
      <c r="AE14" s="40" t="str">
        <f>IF(AND(AE$4&gt;=$D14,AE$4&lt;=$E14),1,"")</f>
        <v/>
      </c>
    </row>
    <row r="15" spans="1:31" x14ac:dyDescent="0.25">
      <c r="A15" t="str">
        <f>Features!A9</f>
        <v>A8</v>
      </c>
      <c r="B15" t="str">
        <f>Features!C9</f>
        <v>Observability + cost controls</v>
      </c>
      <c r="C15" t="str">
        <f>Features!E9</f>
        <v>MVP</v>
      </c>
      <c r="D15">
        <f>Features!I9</f>
        <v>6</v>
      </c>
      <c r="E15">
        <f>Features!J9</f>
        <v>8</v>
      </c>
      <c r="F15" s="40" t="str">
        <f>IF(AND(F$4&gt;=$D15,F$4&lt;=$E15),1,"")</f>
        <v/>
      </c>
      <c r="G15" s="40" t="str">
        <f>IF(AND(G$4&gt;=$D15,G$4&lt;=$E15),1,"")</f>
        <v/>
      </c>
      <c r="H15" s="40" t="str">
        <f>IF(AND(H$4&gt;=$D15,H$4&lt;=$E15),1,"")</f>
        <v/>
      </c>
      <c r="I15" s="41" t="str">
        <f>IF(AND(I$4&gt;=$D15,I$4&lt;=$E15),1,"")</f>
        <v/>
      </c>
      <c r="J15" s="40" t="str">
        <f>IF(AND(J$4&gt;=$D15,J$4&lt;=$E15),1,"")</f>
        <v/>
      </c>
      <c r="K15" s="40">
        <f>IF(AND(K$4&gt;=$D15,K$4&lt;=$E15),1,"")</f>
        <v>1</v>
      </c>
      <c r="L15" s="40">
        <f>IF(AND(L$4&gt;=$D15,L$4&lt;=$E15),1,"")</f>
        <v>1</v>
      </c>
      <c r="M15" s="41">
        <f>IF(AND(M$4&gt;=$D15,M$4&lt;=$E15),1,"")</f>
        <v>1</v>
      </c>
      <c r="N15" s="40" t="str">
        <f>IF(AND(N$4&gt;=$D15,N$4&lt;=$E15),1,"")</f>
        <v/>
      </c>
      <c r="O15" s="40" t="str">
        <f>IF(AND(O$4&gt;=$D15,O$4&lt;=$E15),1,"")</f>
        <v/>
      </c>
      <c r="P15" s="40" t="str">
        <f>IF(AND(P$4&gt;=$D15,P$4&lt;=$E15),1,"")</f>
        <v/>
      </c>
      <c r="Q15" s="40" t="str">
        <f>IF(AND(Q$4&gt;=$D15,Q$4&lt;=$E15),1,"")</f>
        <v/>
      </c>
      <c r="R15" s="40" t="str">
        <f>IF(AND(R$4&gt;=$D15,R$4&lt;=$E15),1,"")</f>
        <v/>
      </c>
      <c r="S15" s="41" t="str">
        <f>IF(AND(S$4&gt;=$D15,S$4&lt;=$E15),1,"")</f>
        <v/>
      </c>
      <c r="T15" s="40" t="str">
        <f>IF(AND(T$4&gt;=$D15,T$4&lt;=$E15),1,"")</f>
        <v/>
      </c>
      <c r="U15" s="40" t="str">
        <f>IF(AND(U$4&gt;=$D15,U$4&lt;=$E15),1,"")</f>
        <v/>
      </c>
      <c r="V15" s="40" t="str">
        <f>IF(AND(V$4&gt;=$D15,V$4&lt;=$E15),1,"")</f>
        <v/>
      </c>
      <c r="W15" s="40" t="str">
        <f>IF(AND(W$4&gt;=$D15,W$4&lt;=$E15),1,"")</f>
        <v/>
      </c>
      <c r="X15" s="40" t="str">
        <f>IF(AND(X$4&gt;=$D15,X$4&lt;=$E15),1,"")</f>
        <v/>
      </c>
      <c r="Y15" s="41" t="str">
        <f>IF(AND(Y$4&gt;=$D15,Y$4&lt;=$E15),1,"")</f>
        <v/>
      </c>
      <c r="Z15" s="40" t="str">
        <f>IF(AND(Z$4&gt;=$D15,Z$4&lt;=$E15),1,"")</f>
        <v/>
      </c>
      <c r="AA15" s="40" t="str">
        <f>IF(AND(AA$4&gt;=$D15,AA$4&lt;=$E15),1,"")</f>
        <v/>
      </c>
      <c r="AB15" s="40" t="str">
        <f>IF(AND(AB$4&gt;=$D15,AB$4&lt;=$E15),1,"")</f>
        <v/>
      </c>
      <c r="AC15" s="41" t="str">
        <f>IF(AND(AC$4&gt;=$D15,AC$4&lt;=$E15),1,"")</f>
        <v/>
      </c>
      <c r="AD15" s="40" t="str">
        <f>IF(AND(AD$4&gt;=$D15,AD$4&lt;=$E15),1,"")</f>
        <v/>
      </c>
      <c r="AE15" s="40" t="str">
        <f>IF(AND(AE$4&gt;=$D15,AE$4&lt;=$E15),1,"")</f>
        <v/>
      </c>
    </row>
    <row r="16" spans="1:31" x14ac:dyDescent="0.25">
      <c r="A16" t="str">
        <f>Features!A10</f>
        <v>A9</v>
      </c>
      <c r="B16" t="str">
        <f>Features!C10</f>
        <v>Prod environment + go-live runbook</v>
      </c>
      <c r="C16" t="str">
        <f>Features!E10</f>
        <v>MVP</v>
      </c>
      <c r="D16">
        <f>Features!I10</f>
        <v>7</v>
      </c>
      <c r="E16">
        <f>Features!J10</f>
        <v>8</v>
      </c>
      <c r="F16" s="40" t="str">
        <f>IF(AND(F$4&gt;=$D16,F$4&lt;=$E16),1,"")</f>
        <v/>
      </c>
      <c r="G16" s="40" t="str">
        <f>IF(AND(G$4&gt;=$D16,G$4&lt;=$E16),1,"")</f>
        <v/>
      </c>
      <c r="H16" s="40" t="str">
        <f>IF(AND(H$4&gt;=$D16,H$4&lt;=$E16),1,"")</f>
        <v/>
      </c>
      <c r="I16" s="41" t="str">
        <f>IF(AND(I$4&gt;=$D16,I$4&lt;=$E16),1,"")</f>
        <v/>
      </c>
      <c r="J16" s="40" t="str">
        <f>IF(AND(J$4&gt;=$D16,J$4&lt;=$E16),1,"")</f>
        <v/>
      </c>
      <c r="K16" s="40" t="str">
        <f>IF(AND(K$4&gt;=$D16,K$4&lt;=$E16),1,"")</f>
        <v/>
      </c>
      <c r="L16" s="40">
        <f>IF(AND(L$4&gt;=$D16,L$4&lt;=$E16),1,"")</f>
        <v>1</v>
      </c>
      <c r="M16" s="41">
        <f>IF(AND(M$4&gt;=$D16,M$4&lt;=$E16),1,"")</f>
        <v>1</v>
      </c>
      <c r="N16" s="40" t="str">
        <f>IF(AND(N$4&gt;=$D16,N$4&lt;=$E16),1,"")</f>
        <v/>
      </c>
      <c r="O16" s="40" t="str">
        <f>IF(AND(O$4&gt;=$D16,O$4&lt;=$E16),1,"")</f>
        <v/>
      </c>
      <c r="P16" s="40" t="str">
        <f>IF(AND(P$4&gt;=$D16,P$4&lt;=$E16),1,"")</f>
        <v/>
      </c>
      <c r="Q16" s="40" t="str">
        <f>IF(AND(Q$4&gt;=$D16,Q$4&lt;=$E16),1,"")</f>
        <v/>
      </c>
      <c r="R16" s="40" t="str">
        <f>IF(AND(R$4&gt;=$D16,R$4&lt;=$E16),1,"")</f>
        <v/>
      </c>
      <c r="S16" s="41" t="str">
        <f>IF(AND(S$4&gt;=$D16,S$4&lt;=$E16),1,"")</f>
        <v/>
      </c>
      <c r="T16" s="40" t="str">
        <f>IF(AND(T$4&gt;=$D16,T$4&lt;=$E16),1,"")</f>
        <v/>
      </c>
      <c r="U16" s="40" t="str">
        <f>IF(AND(U$4&gt;=$D16,U$4&lt;=$E16),1,"")</f>
        <v/>
      </c>
      <c r="V16" s="40" t="str">
        <f>IF(AND(V$4&gt;=$D16,V$4&lt;=$E16),1,"")</f>
        <v/>
      </c>
      <c r="W16" s="40" t="str">
        <f>IF(AND(W$4&gt;=$D16,W$4&lt;=$E16),1,"")</f>
        <v/>
      </c>
      <c r="X16" s="40" t="str">
        <f>IF(AND(X$4&gt;=$D16,X$4&lt;=$E16),1,"")</f>
        <v/>
      </c>
      <c r="Y16" s="41" t="str">
        <f>IF(AND(Y$4&gt;=$D16,Y$4&lt;=$E16),1,"")</f>
        <v/>
      </c>
      <c r="Z16" s="40" t="str">
        <f>IF(AND(Z$4&gt;=$D16,Z$4&lt;=$E16),1,"")</f>
        <v/>
      </c>
      <c r="AA16" s="40" t="str">
        <f>IF(AND(AA$4&gt;=$D16,AA$4&lt;=$E16),1,"")</f>
        <v/>
      </c>
      <c r="AB16" s="40" t="str">
        <f>IF(AND(AB$4&gt;=$D16,AB$4&lt;=$E16),1,"")</f>
        <v/>
      </c>
      <c r="AC16" s="41" t="str">
        <f>IF(AND(AC$4&gt;=$D16,AC$4&lt;=$E16),1,"")</f>
        <v/>
      </c>
      <c r="AD16" s="40" t="str">
        <f>IF(AND(AD$4&gt;=$D16,AD$4&lt;=$E16),1,"")</f>
        <v/>
      </c>
      <c r="AE16" s="40" t="str">
        <f>IF(AND(AE$4&gt;=$D16,AE$4&lt;=$E16),1,"")</f>
        <v/>
      </c>
    </row>
    <row r="17" spans="1:31" x14ac:dyDescent="0.25">
      <c r="A17" t="str">
        <f>Features!A11</f>
        <v>A10</v>
      </c>
      <c r="B17" t="str">
        <f>Features!C11</f>
        <v>Private networking</v>
      </c>
      <c r="C17" t="str">
        <f>Features!E11</f>
        <v>R3</v>
      </c>
      <c r="D17">
        <f>Features!I11</f>
        <v>16</v>
      </c>
      <c r="E17">
        <f>Features!J11</f>
        <v>20</v>
      </c>
      <c r="F17" s="40" t="str">
        <f>IF(AND(F$4&gt;=$D17,F$4&lt;=$E17),1,"")</f>
        <v/>
      </c>
      <c r="G17" s="40" t="str">
        <f>IF(AND(G$4&gt;=$D17,G$4&lt;=$E17),1,"")</f>
        <v/>
      </c>
      <c r="H17" s="40" t="str">
        <f>IF(AND(H$4&gt;=$D17,H$4&lt;=$E17),1,"")</f>
        <v/>
      </c>
      <c r="I17" s="41" t="str">
        <f>IF(AND(I$4&gt;=$D17,I$4&lt;=$E17),1,"")</f>
        <v/>
      </c>
      <c r="J17" s="40" t="str">
        <f>IF(AND(J$4&gt;=$D17,J$4&lt;=$E17),1,"")</f>
        <v/>
      </c>
      <c r="K17" s="40" t="str">
        <f>IF(AND(K$4&gt;=$D17,K$4&lt;=$E17),1,"")</f>
        <v/>
      </c>
      <c r="L17" s="40" t="str">
        <f>IF(AND(L$4&gt;=$D17,L$4&lt;=$E17),1,"")</f>
        <v/>
      </c>
      <c r="M17" s="41" t="str">
        <f>IF(AND(M$4&gt;=$D17,M$4&lt;=$E17),1,"")</f>
        <v/>
      </c>
      <c r="N17" s="40" t="str">
        <f>IF(AND(N$4&gt;=$D17,N$4&lt;=$E17),1,"")</f>
        <v/>
      </c>
      <c r="O17" s="40" t="str">
        <f>IF(AND(O$4&gt;=$D17,O$4&lt;=$E17),1,"")</f>
        <v/>
      </c>
      <c r="P17" s="40" t="str">
        <f>IF(AND(P$4&gt;=$D17,P$4&lt;=$E17),1,"")</f>
        <v/>
      </c>
      <c r="Q17" s="40" t="str">
        <f>IF(AND(Q$4&gt;=$D17,Q$4&lt;=$E17),1,"")</f>
        <v/>
      </c>
      <c r="R17" s="40" t="str">
        <f>IF(AND(R$4&gt;=$D17,R$4&lt;=$E17),1,"")</f>
        <v/>
      </c>
      <c r="S17" s="41" t="str">
        <f>IF(AND(S$4&gt;=$D17,S$4&lt;=$E17),1,"")</f>
        <v/>
      </c>
      <c r="T17" s="40" t="str">
        <f>IF(AND(T$4&gt;=$D17,T$4&lt;=$E17),1,"")</f>
        <v/>
      </c>
      <c r="U17" s="40">
        <f>IF(AND(U$4&gt;=$D17,U$4&lt;=$E17),1,"")</f>
        <v>1</v>
      </c>
      <c r="V17" s="40">
        <f>IF(AND(V$4&gt;=$D17,V$4&lt;=$E17),1,"")</f>
        <v>1</v>
      </c>
      <c r="W17" s="40">
        <f>IF(AND(W$4&gt;=$D17,W$4&lt;=$E17),1,"")</f>
        <v>1</v>
      </c>
      <c r="X17" s="40">
        <f>IF(AND(X$4&gt;=$D17,X$4&lt;=$E17),1,"")</f>
        <v>1</v>
      </c>
      <c r="Y17" s="41">
        <f>IF(AND(Y$4&gt;=$D17,Y$4&lt;=$E17),1,"")</f>
        <v>1</v>
      </c>
      <c r="Z17" s="40" t="str">
        <f>IF(AND(Z$4&gt;=$D17,Z$4&lt;=$E17),1,"")</f>
        <v/>
      </c>
      <c r="AA17" s="40" t="str">
        <f>IF(AND(AA$4&gt;=$D17,AA$4&lt;=$E17),1,"")</f>
        <v/>
      </c>
      <c r="AB17" s="40" t="str">
        <f>IF(AND(AB$4&gt;=$D17,AB$4&lt;=$E17),1,"")</f>
        <v/>
      </c>
      <c r="AC17" s="41" t="str">
        <f>IF(AND(AC$4&gt;=$D17,AC$4&lt;=$E17),1,"")</f>
        <v/>
      </c>
      <c r="AD17" s="40" t="str">
        <f>IF(AND(AD$4&gt;=$D17,AD$4&lt;=$E17),1,"")</f>
        <v/>
      </c>
      <c r="AE17" s="40" t="str">
        <f>IF(AND(AE$4&gt;=$D17,AE$4&lt;=$E17),1,"")</f>
        <v/>
      </c>
    </row>
    <row r="18" spans="1:31" x14ac:dyDescent="0.25">
      <c r="A18" t="str">
        <f>Features!A12</f>
        <v>A11</v>
      </c>
      <c r="B18" t="str">
        <f>Features!C12</f>
        <v>Per-client deployment template</v>
      </c>
      <c r="C18" t="str">
        <f>Features!E12</f>
        <v>GA</v>
      </c>
      <c r="D18">
        <f>Features!I12</f>
        <v>20</v>
      </c>
      <c r="E18">
        <f>Features!J12</f>
        <v>23</v>
      </c>
      <c r="F18" s="40" t="str">
        <f>IF(AND(F$4&gt;=$D18,F$4&lt;=$E18),1,"")</f>
        <v/>
      </c>
      <c r="G18" s="40" t="str">
        <f>IF(AND(G$4&gt;=$D18,G$4&lt;=$E18),1,"")</f>
        <v/>
      </c>
      <c r="H18" s="40" t="str">
        <f>IF(AND(H$4&gt;=$D18,H$4&lt;=$E18),1,"")</f>
        <v/>
      </c>
      <c r="I18" s="41" t="str">
        <f>IF(AND(I$4&gt;=$D18,I$4&lt;=$E18),1,"")</f>
        <v/>
      </c>
      <c r="J18" s="40" t="str">
        <f>IF(AND(J$4&gt;=$D18,J$4&lt;=$E18),1,"")</f>
        <v/>
      </c>
      <c r="K18" s="40" t="str">
        <f>IF(AND(K$4&gt;=$D18,K$4&lt;=$E18),1,"")</f>
        <v/>
      </c>
      <c r="L18" s="40" t="str">
        <f>IF(AND(L$4&gt;=$D18,L$4&lt;=$E18),1,"")</f>
        <v/>
      </c>
      <c r="M18" s="41" t="str">
        <f>IF(AND(M$4&gt;=$D18,M$4&lt;=$E18),1,"")</f>
        <v/>
      </c>
      <c r="N18" s="40" t="str">
        <f>IF(AND(N$4&gt;=$D18,N$4&lt;=$E18),1,"")</f>
        <v/>
      </c>
      <c r="O18" s="40" t="str">
        <f>IF(AND(O$4&gt;=$D18,O$4&lt;=$E18),1,"")</f>
        <v/>
      </c>
      <c r="P18" s="40" t="str">
        <f>IF(AND(P$4&gt;=$D18,P$4&lt;=$E18),1,"")</f>
        <v/>
      </c>
      <c r="Q18" s="40" t="str">
        <f>IF(AND(Q$4&gt;=$D18,Q$4&lt;=$E18),1,"")</f>
        <v/>
      </c>
      <c r="R18" s="40" t="str">
        <f>IF(AND(R$4&gt;=$D18,R$4&lt;=$E18),1,"")</f>
        <v/>
      </c>
      <c r="S18" s="41" t="str">
        <f>IF(AND(S$4&gt;=$D18,S$4&lt;=$E18),1,"")</f>
        <v/>
      </c>
      <c r="T18" s="40" t="str">
        <f>IF(AND(T$4&gt;=$D18,T$4&lt;=$E18),1,"")</f>
        <v/>
      </c>
      <c r="U18" s="40" t="str">
        <f>IF(AND(U$4&gt;=$D18,U$4&lt;=$E18),1,"")</f>
        <v/>
      </c>
      <c r="V18" s="40" t="str">
        <f>IF(AND(V$4&gt;=$D18,V$4&lt;=$E18),1,"")</f>
        <v/>
      </c>
      <c r="W18" s="40" t="str">
        <f>IF(AND(W$4&gt;=$D18,W$4&lt;=$E18),1,"")</f>
        <v/>
      </c>
      <c r="X18" s="40" t="str">
        <f>IF(AND(X$4&gt;=$D18,X$4&lt;=$E18),1,"")</f>
        <v/>
      </c>
      <c r="Y18" s="41">
        <f>IF(AND(Y$4&gt;=$D18,Y$4&lt;=$E18),1,"")</f>
        <v>1</v>
      </c>
      <c r="Z18" s="40">
        <f>IF(AND(Z$4&gt;=$D18,Z$4&lt;=$E18),1,"")</f>
        <v>1</v>
      </c>
      <c r="AA18" s="40">
        <f>IF(AND(AA$4&gt;=$D18,AA$4&lt;=$E18),1,"")</f>
        <v>1</v>
      </c>
      <c r="AB18" s="40">
        <f>IF(AND(AB$4&gt;=$D18,AB$4&lt;=$E18),1,"")</f>
        <v>1</v>
      </c>
      <c r="AC18" s="41" t="str">
        <f>IF(AND(AC$4&gt;=$D18,AC$4&lt;=$E18),1,"")</f>
        <v/>
      </c>
      <c r="AD18" s="40" t="str">
        <f>IF(AND(AD$4&gt;=$D18,AD$4&lt;=$E18),1,"")</f>
        <v/>
      </c>
      <c r="AE18" s="40" t="str">
        <f>IF(AND(AE$4&gt;=$D18,AE$4&lt;=$E18),1,"")</f>
        <v/>
      </c>
    </row>
    <row r="19" spans="1:31" x14ac:dyDescent="0.25">
      <c r="A19" t="str">
        <f>Features!A13</f>
        <v>A12</v>
      </c>
      <c r="B19" t="str">
        <f>Features!C13</f>
        <v>DR, backup, load and pen-test remediation</v>
      </c>
      <c r="C19" t="str">
        <f>Features!E13</f>
        <v>GA</v>
      </c>
      <c r="D19">
        <f>Features!I13</f>
        <v>21</v>
      </c>
      <c r="E19">
        <f>Features!J13</f>
        <v>24</v>
      </c>
      <c r="F19" s="40" t="str">
        <f>IF(AND(F$4&gt;=$D19,F$4&lt;=$E19),1,"")</f>
        <v/>
      </c>
      <c r="G19" s="40" t="str">
        <f>IF(AND(G$4&gt;=$D19,G$4&lt;=$E19),1,"")</f>
        <v/>
      </c>
      <c r="H19" s="40" t="str">
        <f>IF(AND(H$4&gt;=$D19,H$4&lt;=$E19),1,"")</f>
        <v/>
      </c>
      <c r="I19" s="41" t="str">
        <f>IF(AND(I$4&gt;=$D19,I$4&lt;=$E19),1,"")</f>
        <v/>
      </c>
      <c r="J19" s="40" t="str">
        <f>IF(AND(J$4&gt;=$D19,J$4&lt;=$E19),1,"")</f>
        <v/>
      </c>
      <c r="K19" s="40" t="str">
        <f>IF(AND(K$4&gt;=$D19,K$4&lt;=$E19),1,"")</f>
        <v/>
      </c>
      <c r="L19" s="40" t="str">
        <f>IF(AND(L$4&gt;=$D19,L$4&lt;=$E19),1,"")</f>
        <v/>
      </c>
      <c r="M19" s="41" t="str">
        <f>IF(AND(M$4&gt;=$D19,M$4&lt;=$E19),1,"")</f>
        <v/>
      </c>
      <c r="N19" s="40" t="str">
        <f>IF(AND(N$4&gt;=$D19,N$4&lt;=$E19),1,"")</f>
        <v/>
      </c>
      <c r="O19" s="40" t="str">
        <f>IF(AND(O$4&gt;=$D19,O$4&lt;=$E19),1,"")</f>
        <v/>
      </c>
      <c r="P19" s="40" t="str">
        <f>IF(AND(P$4&gt;=$D19,P$4&lt;=$E19),1,"")</f>
        <v/>
      </c>
      <c r="Q19" s="40" t="str">
        <f>IF(AND(Q$4&gt;=$D19,Q$4&lt;=$E19),1,"")</f>
        <v/>
      </c>
      <c r="R19" s="40" t="str">
        <f>IF(AND(R$4&gt;=$D19,R$4&lt;=$E19),1,"")</f>
        <v/>
      </c>
      <c r="S19" s="41" t="str">
        <f>IF(AND(S$4&gt;=$D19,S$4&lt;=$E19),1,"")</f>
        <v/>
      </c>
      <c r="T19" s="40" t="str">
        <f>IF(AND(T$4&gt;=$D19,T$4&lt;=$E19),1,"")</f>
        <v/>
      </c>
      <c r="U19" s="40" t="str">
        <f>IF(AND(U$4&gt;=$D19,U$4&lt;=$E19),1,"")</f>
        <v/>
      </c>
      <c r="V19" s="40" t="str">
        <f>IF(AND(V$4&gt;=$D19,V$4&lt;=$E19),1,"")</f>
        <v/>
      </c>
      <c r="W19" s="40" t="str">
        <f>IF(AND(W$4&gt;=$D19,W$4&lt;=$E19),1,"")</f>
        <v/>
      </c>
      <c r="X19" s="40" t="str">
        <f>IF(AND(X$4&gt;=$D19,X$4&lt;=$E19),1,"")</f>
        <v/>
      </c>
      <c r="Y19" s="41" t="str">
        <f>IF(AND(Y$4&gt;=$D19,Y$4&lt;=$E19),1,"")</f>
        <v/>
      </c>
      <c r="Z19" s="40">
        <f>IF(AND(Z$4&gt;=$D19,Z$4&lt;=$E19),1,"")</f>
        <v>1</v>
      </c>
      <c r="AA19" s="40">
        <f>IF(AND(AA$4&gt;=$D19,AA$4&lt;=$E19),1,"")</f>
        <v>1</v>
      </c>
      <c r="AB19" s="40">
        <f>IF(AND(AB$4&gt;=$D19,AB$4&lt;=$E19),1,"")</f>
        <v>1</v>
      </c>
      <c r="AC19" s="41">
        <f>IF(AND(AC$4&gt;=$D19,AC$4&lt;=$E19),1,"")</f>
        <v>1</v>
      </c>
      <c r="AD19" s="40" t="str">
        <f>IF(AND(AD$4&gt;=$D19,AD$4&lt;=$E19),1,"")</f>
        <v/>
      </c>
      <c r="AE19" s="40" t="str">
        <f>IF(AND(AE$4&gt;=$D19,AE$4&lt;=$E19),1,"")</f>
        <v/>
      </c>
    </row>
    <row r="20" spans="1:29" x14ac:dyDescent="0.25">
      <c r="A20" s="42" t="s">
        <v>129</v>
      </c>
      <c r="B20" s="42"/>
      <c r="C20" s="42"/>
      <c r="D20" s="42"/>
      <c r="E20" s="42"/>
      <c r="I20" s="39"/>
      <c r="M20" s="39"/>
      <c r="S20" s="39"/>
      <c r="Y20" s="39"/>
      <c r="AC20" s="39"/>
    </row>
    <row r="21" spans="1:31" x14ac:dyDescent="0.25">
      <c r="A21" t="str">
        <f>Features!A15</f>
        <v>B1</v>
      </c>
      <c r="B21" t="str">
        <f>Features!C15</f>
        <v>Scheduled ingest job on Azure</v>
      </c>
      <c r="C21" t="str">
        <f>Features!E15</f>
        <v>MVP</v>
      </c>
      <c r="D21">
        <f>Features!I15</f>
        <v>5</v>
      </c>
      <c r="E21">
        <f>Features!J15</f>
        <v>7</v>
      </c>
      <c r="F21" s="40" t="str">
        <f>IF(AND(F$4&gt;=$D21,F$4&lt;=$E21),1,"")</f>
        <v/>
      </c>
      <c r="G21" s="40" t="str">
        <f>IF(AND(G$4&gt;=$D21,G$4&lt;=$E21),1,"")</f>
        <v/>
      </c>
      <c r="H21" s="40" t="str">
        <f>IF(AND(H$4&gt;=$D21,H$4&lt;=$E21),1,"")</f>
        <v/>
      </c>
      <c r="I21" s="41" t="str">
        <f>IF(AND(I$4&gt;=$D21,I$4&lt;=$E21),1,"")</f>
        <v/>
      </c>
      <c r="J21" s="40">
        <f>IF(AND(J$4&gt;=$D21,J$4&lt;=$E21),1,"")</f>
        <v>1</v>
      </c>
      <c r="K21" s="40">
        <f>IF(AND(K$4&gt;=$D21,K$4&lt;=$E21),1,"")</f>
        <v>1</v>
      </c>
      <c r="L21" s="40">
        <f>IF(AND(L$4&gt;=$D21,L$4&lt;=$E21),1,"")</f>
        <v>1</v>
      </c>
      <c r="M21" s="41" t="str">
        <f>IF(AND(M$4&gt;=$D21,M$4&lt;=$E21),1,"")</f>
        <v/>
      </c>
      <c r="N21" s="40" t="str">
        <f>IF(AND(N$4&gt;=$D21,N$4&lt;=$E21),1,"")</f>
        <v/>
      </c>
      <c r="O21" s="40" t="str">
        <f>IF(AND(O$4&gt;=$D21,O$4&lt;=$E21),1,"")</f>
        <v/>
      </c>
      <c r="P21" s="40" t="str">
        <f>IF(AND(P$4&gt;=$D21,P$4&lt;=$E21),1,"")</f>
        <v/>
      </c>
      <c r="Q21" s="40" t="str">
        <f>IF(AND(Q$4&gt;=$D21,Q$4&lt;=$E21),1,"")</f>
        <v/>
      </c>
      <c r="R21" s="40" t="str">
        <f>IF(AND(R$4&gt;=$D21,R$4&lt;=$E21),1,"")</f>
        <v/>
      </c>
      <c r="S21" s="41" t="str">
        <f>IF(AND(S$4&gt;=$D21,S$4&lt;=$E21),1,"")</f>
        <v/>
      </c>
      <c r="T21" s="40" t="str">
        <f>IF(AND(T$4&gt;=$D21,T$4&lt;=$E21),1,"")</f>
        <v/>
      </c>
      <c r="U21" s="40" t="str">
        <f>IF(AND(U$4&gt;=$D21,U$4&lt;=$E21),1,"")</f>
        <v/>
      </c>
      <c r="V21" s="40" t="str">
        <f>IF(AND(V$4&gt;=$D21,V$4&lt;=$E21),1,"")</f>
        <v/>
      </c>
      <c r="W21" s="40" t="str">
        <f>IF(AND(W$4&gt;=$D21,W$4&lt;=$E21),1,"")</f>
        <v/>
      </c>
      <c r="X21" s="40" t="str">
        <f>IF(AND(X$4&gt;=$D21,X$4&lt;=$E21),1,"")</f>
        <v/>
      </c>
      <c r="Y21" s="41" t="str">
        <f>IF(AND(Y$4&gt;=$D21,Y$4&lt;=$E21),1,"")</f>
        <v/>
      </c>
      <c r="Z21" s="40" t="str">
        <f>IF(AND(Z$4&gt;=$D21,Z$4&lt;=$E21),1,"")</f>
        <v/>
      </c>
      <c r="AA21" s="40" t="str">
        <f>IF(AND(AA$4&gt;=$D21,AA$4&lt;=$E21),1,"")</f>
        <v/>
      </c>
      <c r="AB21" s="40" t="str">
        <f>IF(AND(AB$4&gt;=$D21,AB$4&lt;=$E21),1,"")</f>
        <v/>
      </c>
      <c r="AC21" s="41" t="str">
        <f>IF(AND(AC$4&gt;=$D21,AC$4&lt;=$E21),1,"")</f>
        <v/>
      </c>
      <c r="AD21" s="40" t="str">
        <f>IF(AND(AD$4&gt;=$D21,AD$4&lt;=$E21),1,"")</f>
        <v/>
      </c>
      <c r="AE21" s="40" t="str">
        <f>IF(AND(AE$4&gt;=$D21,AE$4&lt;=$E21),1,"")</f>
        <v/>
      </c>
    </row>
    <row r="22" spans="1:31" x14ac:dyDescent="0.25">
      <c r="A22" t="str">
        <f>Features!A16</f>
        <v>B2</v>
      </c>
      <c r="B22" t="str">
        <f>Features!C16</f>
        <v>Re-ingest KB with hybrid + metadata filters</v>
      </c>
      <c r="C22" t="str">
        <f>Features!E16</f>
        <v>MVP</v>
      </c>
      <c r="D22">
        <f>Features!I16</f>
        <v>5</v>
      </c>
      <c r="E22">
        <f>Features!J16</f>
        <v>8</v>
      </c>
      <c r="F22" s="40" t="str">
        <f>IF(AND(F$4&gt;=$D22,F$4&lt;=$E22),1,"")</f>
        <v/>
      </c>
      <c r="G22" s="40" t="str">
        <f>IF(AND(G$4&gt;=$D22,G$4&lt;=$E22),1,"")</f>
        <v/>
      </c>
      <c r="H22" s="40" t="str">
        <f>IF(AND(H$4&gt;=$D22,H$4&lt;=$E22),1,"")</f>
        <v/>
      </c>
      <c r="I22" s="41" t="str">
        <f>IF(AND(I$4&gt;=$D22,I$4&lt;=$E22),1,"")</f>
        <v/>
      </c>
      <c r="J22" s="40">
        <f>IF(AND(J$4&gt;=$D22,J$4&lt;=$E22),1,"")</f>
        <v>1</v>
      </c>
      <c r="K22" s="40">
        <f>IF(AND(K$4&gt;=$D22,K$4&lt;=$E22),1,"")</f>
        <v>1</v>
      </c>
      <c r="L22" s="40">
        <f>IF(AND(L$4&gt;=$D22,L$4&lt;=$E22),1,"")</f>
        <v>1</v>
      </c>
      <c r="M22" s="41">
        <f>IF(AND(M$4&gt;=$D22,M$4&lt;=$E22),1,"")</f>
        <v>1</v>
      </c>
      <c r="N22" s="40" t="str">
        <f>IF(AND(N$4&gt;=$D22,N$4&lt;=$E22),1,"")</f>
        <v/>
      </c>
      <c r="O22" s="40" t="str">
        <f>IF(AND(O$4&gt;=$D22,O$4&lt;=$E22),1,"")</f>
        <v/>
      </c>
      <c r="P22" s="40" t="str">
        <f>IF(AND(P$4&gt;=$D22,P$4&lt;=$E22),1,"")</f>
        <v/>
      </c>
      <c r="Q22" s="40" t="str">
        <f>IF(AND(Q$4&gt;=$D22,Q$4&lt;=$E22),1,"")</f>
        <v/>
      </c>
      <c r="R22" s="40" t="str">
        <f>IF(AND(R$4&gt;=$D22,R$4&lt;=$E22),1,"")</f>
        <v/>
      </c>
      <c r="S22" s="41" t="str">
        <f>IF(AND(S$4&gt;=$D22,S$4&lt;=$E22),1,"")</f>
        <v/>
      </c>
      <c r="T22" s="40" t="str">
        <f>IF(AND(T$4&gt;=$D22,T$4&lt;=$E22),1,"")</f>
        <v/>
      </c>
      <c r="U22" s="40" t="str">
        <f>IF(AND(U$4&gt;=$D22,U$4&lt;=$E22),1,"")</f>
        <v/>
      </c>
      <c r="V22" s="40" t="str">
        <f>IF(AND(V$4&gt;=$D22,V$4&lt;=$E22),1,"")</f>
        <v/>
      </c>
      <c r="W22" s="40" t="str">
        <f>IF(AND(W$4&gt;=$D22,W$4&lt;=$E22),1,"")</f>
        <v/>
      </c>
      <c r="X22" s="40" t="str">
        <f>IF(AND(X$4&gt;=$D22,X$4&lt;=$E22),1,"")</f>
        <v/>
      </c>
      <c r="Y22" s="41" t="str">
        <f>IF(AND(Y$4&gt;=$D22,Y$4&lt;=$E22),1,"")</f>
        <v/>
      </c>
      <c r="Z22" s="40" t="str">
        <f>IF(AND(Z$4&gt;=$D22,Z$4&lt;=$E22),1,"")</f>
        <v/>
      </c>
      <c r="AA22" s="40" t="str">
        <f>IF(AND(AA$4&gt;=$D22,AA$4&lt;=$E22),1,"")</f>
        <v/>
      </c>
      <c r="AB22" s="40" t="str">
        <f>IF(AND(AB$4&gt;=$D22,AB$4&lt;=$E22),1,"")</f>
        <v/>
      </c>
      <c r="AC22" s="41" t="str">
        <f>IF(AND(AC$4&gt;=$D22,AC$4&lt;=$E22),1,"")</f>
        <v/>
      </c>
      <c r="AD22" s="40" t="str">
        <f>IF(AND(AD$4&gt;=$D22,AD$4&lt;=$E22),1,"")</f>
        <v/>
      </c>
      <c r="AE22" s="40" t="str">
        <f>IF(AND(AE$4&gt;=$D22,AE$4&lt;=$E22),1,"")</f>
        <v/>
      </c>
    </row>
    <row r="23" spans="1:31" x14ac:dyDescent="0.25">
      <c r="A23" t="str">
        <f>Features!A17</f>
        <v>B3</v>
      </c>
      <c r="B23" t="str">
        <f>Features!C17</f>
        <v>EDMX live run (XSUAA auth)</v>
      </c>
      <c r="C23" t="str">
        <f>Features!E17</f>
        <v>R2</v>
      </c>
      <c r="D23">
        <f>Features!I17</f>
        <v>9</v>
      </c>
      <c r="E23">
        <f>Features!J17</f>
        <v>12</v>
      </c>
      <c r="F23" s="40" t="str">
        <f>IF(AND(F$4&gt;=$D23,F$4&lt;=$E23),1,"")</f>
        <v/>
      </c>
      <c r="G23" s="40" t="str">
        <f>IF(AND(G$4&gt;=$D23,G$4&lt;=$E23),1,"")</f>
        <v/>
      </c>
      <c r="H23" s="40" t="str">
        <f>IF(AND(H$4&gt;=$D23,H$4&lt;=$E23),1,"")</f>
        <v/>
      </c>
      <c r="I23" s="41" t="str">
        <f>IF(AND(I$4&gt;=$D23,I$4&lt;=$E23),1,"")</f>
        <v/>
      </c>
      <c r="J23" s="40" t="str">
        <f>IF(AND(J$4&gt;=$D23,J$4&lt;=$E23),1,"")</f>
        <v/>
      </c>
      <c r="K23" s="40" t="str">
        <f>IF(AND(K$4&gt;=$D23,K$4&lt;=$E23),1,"")</f>
        <v/>
      </c>
      <c r="L23" s="40" t="str">
        <f>IF(AND(L$4&gt;=$D23,L$4&lt;=$E23),1,"")</f>
        <v/>
      </c>
      <c r="M23" s="41" t="str">
        <f>IF(AND(M$4&gt;=$D23,M$4&lt;=$E23),1,"")</f>
        <v/>
      </c>
      <c r="N23" s="40">
        <f>IF(AND(N$4&gt;=$D23,N$4&lt;=$E23),1,"")</f>
        <v>1</v>
      </c>
      <c r="O23" s="40">
        <f>IF(AND(O$4&gt;=$D23,O$4&lt;=$E23),1,"")</f>
        <v>1</v>
      </c>
      <c r="P23" s="40">
        <f>IF(AND(P$4&gt;=$D23,P$4&lt;=$E23),1,"")</f>
        <v>1</v>
      </c>
      <c r="Q23" s="40">
        <f>IF(AND(Q$4&gt;=$D23,Q$4&lt;=$E23),1,"")</f>
        <v>1</v>
      </c>
      <c r="R23" s="40" t="str">
        <f>IF(AND(R$4&gt;=$D23,R$4&lt;=$E23),1,"")</f>
        <v/>
      </c>
      <c r="S23" s="41" t="str">
        <f>IF(AND(S$4&gt;=$D23,S$4&lt;=$E23),1,"")</f>
        <v/>
      </c>
      <c r="T23" s="40" t="str">
        <f>IF(AND(T$4&gt;=$D23,T$4&lt;=$E23),1,"")</f>
        <v/>
      </c>
      <c r="U23" s="40" t="str">
        <f>IF(AND(U$4&gt;=$D23,U$4&lt;=$E23),1,"")</f>
        <v/>
      </c>
      <c r="V23" s="40" t="str">
        <f>IF(AND(V$4&gt;=$D23,V$4&lt;=$E23),1,"")</f>
        <v/>
      </c>
      <c r="W23" s="40" t="str">
        <f>IF(AND(W$4&gt;=$D23,W$4&lt;=$E23),1,"")</f>
        <v/>
      </c>
      <c r="X23" s="40" t="str">
        <f>IF(AND(X$4&gt;=$D23,X$4&lt;=$E23),1,"")</f>
        <v/>
      </c>
      <c r="Y23" s="41" t="str">
        <f>IF(AND(Y$4&gt;=$D23,Y$4&lt;=$E23),1,"")</f>
        <v/>
      </c>
      <c r="Z23" s="40" t="str">
        <f>IF(AND(Z$4&gt;=$D23,Z$4&lt;=$E23),1,"")</f>
        <v/>
      </c>
      <c r="AA23" s="40" t="str">
        <f>IF(AND(AA$4&gt;=$D23,AA$4&lt;=$E23),1,"")</f>
        <v/>
      </c>
      <c r="AB23" s="40" t="str">
        <f>IF(AND(AB$4&gt;=$D23,AB$4&lt;=$E23),1,"")</f>
        <v/>
      </c>
      <c r="AC23" s="41" t="str">
        <f>IF(AND(AC$4&gt;=$D23,AC$4&lt;=$E23),1,"")</f>
        <v/>
      </c>
      <c r="AD23" s="40" t="str">
        <f>IF(AND(AD$4&gt;=$D23,AD$4&lt;=$E23),1,"")</f>
        <v/>
      </c>
      <c r="AE23" s="40" t="str">
        <f>IF(AND(AE$4&gt;=$D23,AE$4&lt;=$E23),1,"")</f>
        <v/>
      </c>
    </row>
    <row r="24" spans="1:31" x14ac:dyDescent="0.25">
      <c r="A24" t="str">
        <f>Features!A18</f>
        <v>B4</v>
      </c>
      <c r="B24" t="str">
        <f>Features!C18</f>
        <v>help-portal-cds re-crawl</v>
      </c>
      <c r="C24" t="str">
        <f>Features!E18</f>
        <v>R2</v>
      </c>
      <c r="D24">
        <f>Features!I18</f>
        <v>10</v>
      </c>
      <c r="E24">
        <f>Features!J18</f>
        <v>13</v>
      </c>
      <c r="F24" s="40" t="str">
        <f>IF(AND(F$4&gt;=$D24,F$4&lt;=$E24),1,"")</f>
        <v/>
      </c>
      <c r="G24" s="40" t="str">
        <f>IF(AND(G$4&gt;=$D24,G$4&lt;=$E24),1,"")</f>
        <v/>
      </c>
      <c r="H24" s="40" t="str">
        <f>IF(AND(H$4&gt;=$D24,H$4&lt;=$E24),1,"")</f>
        <v/>
      </c>
      <c r="I24" s="41" t="str">
        <f>IF(AND(I$4&gt;=$D24,I$4&lt;=$E24),1,"")</f>
        <v/>
      </c>
      <c r="J24" s="40" t="str">
        <f>IF(AND(J$4&gt;=$D24,J$4&lt;=$E24),1,"")</f>
        <v/>
      </c>
      <c r="K24" s="40" t="str">
        <f>IF(AND(K$4&gt;=$D24,K$4&lt;=$E24),1,"")</f>
        <v/>
      </c>
      <c r="L24" s="40" t="str">
        <f>IF(AND(L$4&gt;=$D24,L$4&lt;=$E24),1,"")</f>
        <v/>
      </c>
      <c r="M24" s="41" t="str">
        <f>IF(AND(M$4&gt;=$D24,M$4&lt;=$E24),1,"")</f>
        <v/>
      </c>
      <c r="N24" s="40" t="str">
        <f>IF(AND(N$4&gt;=$D24,N$4&lt;=$E24),1,"")</f>
        <v/>
      </c>
      <c r="O24" s="40">
        <f>IF(AND(O$4&gt;=$D24,O$4&lt;=$E24),1,"")</f>
        <v>1</v>
      </c>
      <c r="P24" s="40">
        <f>IF(AND(P$4&gt;=$D24,P$4&lt;=$E24),1,"")</f>
        <v>1</v>
      </c>
      <c r="Q24" s="40">
        <f>IF(AND(Q$4&gt;=$D24,Q$4&lt;=$E24),1,"")</f>
        <v>1</v>
      </c>
      <c r="R24" s="40">
        <f>IF(AND(R$4&gt;=$D24,R$4&lt;=$E24),1,"")</f>
        <v>1</v>
      </c>
      <c r="S24" s="41" t="str">
        <f>IF(AND(S$4&gt;=$D24,S$4&lt;=$E24),1,"")</f>
        <v/>
      </c>
      <c r="T24" s="40" t="str">
        <f>IF(AND(T$4&gt;=$D24,T$4&lt;=$E24),1,"")</f>
        <v/>
      </c>
      <c r="U24" s="40" t="str">
        <f>IF(AND(U$4&gt;=$D24,U$4&lt;=$E24),1,"")</f>
        <v/>
      </c>
      <c r="V24" s="40" t="str">
        <f>IF(AND(V$4&gt;=$D24,V$4&lt;=$E24),1,"")</f>
        <v/>
      </c>
      <c r="W24" s="40" t="str">
        <f>IF(AND(W$4&gt;=$D24,W$4&lt;=$E24),1,"")</f>
        <v/>
      </c>
      <c r="X24" s="40" t="str">
        <f>IF(AND(X$4&gt;=$D24,X$4&lt;=$E24),1,"")</f>
        <v/>
      </c>
      <c r="Y24" s="41" t="str">
        <f>IF(AND(Y$4&gt;=$D24,Y$4&lt;=$E24),1,"")</f>
        <v/>
      </c>
      <c r="Z24" s="40" t="str">
        <f>IF(AND(Z$4&gt;=$D24,Z$4&lt;=$E24),1,"")</f>
        <v/>
      </c>
      <c r="AA24" s="40" t="str">
        <f>IF(AND(AA$4&gt;=$D24,AA$4&lt;=$E24),1,"")</f>
        <v/>
      </c>
      <c r="AB24" s="40" t="str">
        <f>IF(AND(AB$4&gt;=$D24,AB$4&lt;=$E24),1,"")</f>
        <v/>
      </c>
      <c r="AC24" s="41" t="str">
        <f>IF(AND(AC$4&gt;=$D24,AC$4&lt;=$E24),1,"")</f>
        <v/>
      </c>
      <c r="AD24" s="40" t="str">
        <f>IF(AND(AD$4&gt;=$D24,AD$4&lt;=$E24),1,"")</f>
        <v/>
      </c>
      <c r="AE24" s="40" t="str">
        <f>IF(AND(AE$4&gt;=$D24,AE$4&lt;=$E24),1,"")</f>
        <v/>
      </c>
    </row>
    <row r="25" spans="1:31" x14ac:dyDescent="0.25">
      <c r="A25" t="str">
        <f>Features!A19</f>
        <v>B5</v>
      </c>
      <c r="B25" t="str">
        <f>Features!C19</f>
        <v>KB coverage gap closure</v>
      </c>
      <c r="C25" t="str">
        <f>Features!E19</f>
        <v>R2</v>
      </c>
      <c r="D25">
        <f>Features!I19</f>
        <v>11</v>
      </c>
      <c r="E25">
        <f>Features!J19</f>
        <v>14</v>
      </c>
      <c r="F25" s="40" t="str">
        <f>IF(AND(F$4&gt;=$D25,F$4&lt;=$E25),1,"")</f>
        <v/>
      </c>
      <c r="G25" s="40" t="str">
        <f>IF(AND(G$4&gt;=$D25,G$4&lt;=$E25),1,"")</f>
        <v/>
      </c>
      <c r="H25" s="40" t="str">
        <f>IF(AND(H$4&gt;=$D25,H$4&lt;=$E25),1,"")</f>
        <v/>
      </c>
      <c r="I25" s="41" t="str">
        <f>IF(AND(I$4&gt;=$D25,I$4&lt;=$E25),1,"")</f>
        <v/>
      </c>
      <c r="J25" s="40" t="str">
        <f>IF(AND(J$4&gt;=$D25,J$4&lt;=$E25),1,"")</f>
        <v/>
      </c>
      <c r="K25" s="40" t="str">
        <f>IF(AND(K$4&gt;=$D25,K$4&lt;=$E25),1,"")</f>
        <v/>
      </c>
      <c r="L25" s="40" t="str">
        <f>IF(AND(L$4&gt;=$D25,L$4&lt;=$E25),1,"")</f>
        <v/>
      </c>
      <c r="M25" s="41" t="str">
        <f>IF(AND(M$4&gt;=$D25,M$4&lt;=$E25),1,"")</f>
        <v/>
      </c>
      <c r="N25" s="40" t="str">
        <f>IF(AND(N$4&gt;=$D25,N$4&lt;=$E25),1,"")</f>
        <v/>
      </c>
      <c r="O25" s="40" t="str">
        <f>IF(AND(O$4&gt;=$D25,O$4&lt;=$E25),1,"")</f>
        <v/>
      </c>
      <c r="P25" s="40">
        <f>IF(AND(P$4&gt;=$D25,P$4&lt;=$E25),1,"")</f>
        <v>1</v>
      </c>
      <c r="Q25" s="40">
        <f>IF(AND(Q$4&gt;=$D25,Q$4&lt;=$E25),1,"")</f>
        <v>1</v>
      </c>
      <c r="R25" s="40">
        <f>IF(AND(R$4&gt;=$D25,R$4&lt;=$E25),1,"")</f>
        <v>1</v>
      </c>
      <c r="S25" s="41">
        <f>IF(AND(S$4&gt;=$D25,S$4&lt;=$E25),1,"")</f>
        <v>1</v>
      </c>
      <c r="T25" s="40" t="str">
        <f>IF(AND(T$4&gt;=$D25,T$4&lt;=$E25),1,"")</f>
        <v/>
      </c>
      <c r="U25" s="40" t="str">
        <f>IF(AND(U$4&gt;=$D25,U$4&lt;=$E25),1,"")</f>
        <v/>
      </c>
      <c r="V25" s="40" t="str">
        <f>IF(AND(V$4&gt;=$D25,V$4&lt;=$E25),1,"")</f>
        <v/>
      </c>
      <c r="W25" s="40" t="str">
        <f>IF(AND(W$4&gt;=$D25,W$4&lt;=$E25),1,"")</f>
        <v/>
      </c>
      <c r="X25" s="40" t="str">
        <f>IF(AND(X$4&gt;=$D25,X$4&lt;=$E25),1,"")</f>
        <v/>
      </c>
      <c r="Y25" s="41" t="str">
        <f>IF(AND(Y$4&gt;=$D25,Y$4&lt;=$E25),1,"")</f>
        <v/>
      </c>
      <c r="Z25" s="40" t="str">
        <f>IF(AND(Z$4&gt;=$D25,Z$4&lt;=$E25),1,"")</f>
        <v/>
      </c>
      <c r="AA25" s="40" t="str">
        <f>IF(AND(AA$4&gt;=$D25,AA$4&lt;=$E25),1,"")</f>
        <v/>
      </c>
      <c r="AB25" s="40" t="str">
        <f>IF(AND(AB$4&gt;=$D25,AB$4&lt;=$E25),1,"")</f>
        <v/>
      </c>
      <c r="AC25" s="41" t="str">
        <f>IF(AND(AC$4&gt;=$D25,AC$4&lt;=$E25),1,"")</f>
        <v/>
      </c>
      <c r="AD25" s="40" t="str">
        <f>IF(AND(AD$4&gt;=$D25,AD$4&lt;=$E25),1,"")</f>
        <v/>
      </c>
      <c r="AE25" s="40" t="str">
        <f>IF(AND(AE$4&gt;=$D25,AE$4&lt;=$E25),1,"")</f>
        <v/>
      </c>
    </row>
    <row r="26" spans="1:31" x14ac:dyDescent="0.25">
      <c r="A26" t="str">
        <f>Features!A20</f>
        <v>B6</v>
      </c>
      <c r="B26" t="str">
        <f>Features!C20</f>
        <v>LearningPortalFetcher</v>
      </c>
      <c r="C26" t="str">
        <f>Features!E20</f>
        <v>R3</v>
      </c>
      <c r="D26">
        <f>Features!I20</f>
        <v>17</v>
      </c>
      <c r="E26">
        <f>Features!J20</f>
        <v>19</v>
      </c>
      <c r="F26" s="40" t="str">
        <f>IF(AND(F$4&gt;=$D26,F$4&lt;=$E26),1,"")</f>
        <v/>
      </c>
      <c r="G26" s="40" t="str">
        <f>IF(AND(G$4&gt;=$D26,G$4&lt;=$E26),1,"")</f>
        <v/>
      </c>
      <c r="H26" s="40" t="str">
        <f>IF(AND(H$4&gt;=$D26,H$4&lt;=$E26),1,"")</f>
        <v/>
      </c>
      <c r="I26" s="41" t="str">
        <f>IF(AND(I$4&gt;=$D26,I$4&lt;=$E26),1,"")</f>
        <v/>
      </c>
      <c r="J26" s="40" t="str">
        <f>IF(AND(J$4&gt;=$D26,J$4&lt;=$E26),1,"")</f>
        <v/>
      </c>
      <c r="K26" s="40" t="str">
        <f>IF(AND(K$4&gt;=$D26,K$4&lt;=$E26),1,"")</f>
        <v/>
      </c>
      <c r="L26" s="40" t="str">
        <f>IF(AND(L$4&gt;=$D26,L$4&lt;=$E26),1,"")</f>
        <v/>
      </c>
      <c r="M26" s="41" t="str">
        <f>IF(AND(M$4&gt;=$D26,M$4&lt;=$E26),1,"")</f>
        <v/>
      </c>
      <c r="N26" s="40" t="str">
        <f>IF(AND(N$4&gt;=$D26,N$4&lt;=$E26),1,"")</f>
        <v/>
      </c>
      <c r="O26" s="40" t="str">
        <f>IF(AND(O$4&gt;=$D26,O$4&lt;=$E26),1,"")</f>
        <v/>
      </c>
      <c r="P26" s="40" t="str">
        <f>IF(AND(P$4&gt;=$D26,P$4&lt;=$E26),1,"")</f>
        <v/>
      </c>
      <c r="Q26" s="40" t="str">
        <f>IF(AND(Q$4&gt;=$D26,Q$4&lt;=$E26),1,"")</f>
        <v/>
      </c>
      <c r="R26" s="40" t="str">
        <f>IF(AND(R$4&gt;=$D26,R$4&lt;=$E26),1,"")</f>
        <v/>
      </c>
      <c r="S26" s="41" t="str">
        <f>IF(AND(S$4&gt;=$D26,S$4&lt;=$E26),1,"")</f>
        <v/>
      </c>
      <c r="T26" s="40" t="str">
        <f>IF(AND(T$4&gt;=$D26,T$4&lt;=$E26),1,"")</f>
        <v/>
      </c>
      <c r="U26" s="40" t="str">
        <f>IF(AND(U$4&gt;=$D26,U$4&lt;=$E26),1,"")</f>
        <v/>
      </c>
      <c r="V26" s="40">
        <f>IF(AND(V$4&gt;=$D26,V$4&lt;=$E26),1,"")</f>
        <v>1</v>
      </c>
      <c r="W26" s="40">
        <f>IF(AND(W$4&gt;=$D26,W$4&lt;=$E26),1,"")</f>
        <v>1</v>
      </c>
      <c r="X26" s="40">
        <f>IF(AND(X$4&gt;=$D26,X$4&lt;=$E26),1,"")</f>
        <v>1</v>
      </c>
      <c r="Y26" s="41" t="str">
        <f>IF(AND(Y$4&gt;=$D26,Y$4&lt;=$E26),1,"")</f>
        <v/>
      </c>
      <c r="Z26" s="40" t="str">
        <f>IF(AND(Z$4&gt;=$D26,Z$4&lt;=$E26),1,"")</f>
        <v/>
      </c>
      <c r="AA26" s="40" t="str">
        <f>IF(AND(AA$4&gt;=$D26,AA$4&lt;=$E26),1,"")</f>
        <v/>
      </c>
      <c r="AB26" s="40" t="str">
        <f>IF(AND(AB$4&gt;=$D26,AB$4&lt;=$E26),1,"")</f>
        <v/>
      </c>
      <c r="AC26" s="41" t="str">
        <f>IF(AND(AC$4&gt;=$D26,AC$4&lt;=$E26),1,"")</f>
        <v/>
      </c>
      <c r="AD26" s="40" t="str">
        <f>IF(AND(AD$4&gt;=$D26,AD$4&lt;=$E26),1,"")</f>
        <v/>
      </c>
      <c r="AE26" s="40" t="str">
        <f>IF(AND(AE$4&gt;=$D26,AE$4&lt;=$E26),1,"")</f>
        <v/>
      </c>
    </row>
    <row r="27" spans="1:31" x14ac:dyDescent="0.25">
      <c r="A27" t="str">
        <f>Features!A21</f>
        <v>B7</v>
      </c>
      <c r="B27" t="str">
        <f>Features!C21</f>
        <v>Blob raw cache + ingest versioning</v>
      </c>
      <c r="C27" t="str">
        <f>Features!E21</f>
        <v>R2</v>
      </c>
      <c r="D27">
        <f>Features!I21</f>
        <v>9</v>
      </c>
      <c r="E27">
        <f>Features!J21</f>
        <v>11</v>
      </c>
      <c r="F27" s="40" t="str">
        <f>IF(AND(F$4&gt;=$D27,F$4&lt;=$E27),1,"")</f>
        <v/>
      </c>
      <c r="G27" s="40" t="str">
        <f>IF(AND(G$4&gt;=$D27,G$4&lt;=$E27),1,"")</f>
        <v/>
      </c>
      <c r="H27" s="40" t="str">
        <f>IF(AND(H$4&gt;=$D27,H$4&lt;=$E27),1,"")</f>
        <v/>
      </c>
      <c r="I27" s="41" t="str">
        <f>IF(AND(I$4&gt;=$D27,I$4&lt;=$E27),1,"")</f>
        <v/>
      </c>
      <c r="J27" s="40" t="str">
        <f>IF(AND(J$4&gt;=$D27,J$4&lt;=$E27),1,"")</f>
        <v/>
      </c>
      <c r="K27" s="40" t="str">
        <f>IF(AND(K$4&gt;=$D27,K$4&lt;=$E27),1,"")</f>
        <v/>
      </c>
      <c r="L27" s="40" t="str">
        <f>IF(AND(L$4&gt;=$D27,L$4&lt;=$E27),1,"")</f>
        <v/>
      </c>
      <c r="M27" s="41" t="str">
        <f>IF(AND(M$4&gt;=$D27,M$4&lt;=$E27),1,"")</f>
        <v/>
      </c>
      <c r="N27" s="40">
        <f>IF(AND(N$4&gt;=$D27,N$4&lt;=$E27),1,"")</f>
        <v>1</v>
      </c>
      <c r="O27" s="40">
        <f>IF(AND(O$4&gt;=$D27,O$4&lt;=$E27),1,"")</f>
        <v>1</v>
      </c>
      <c r="P27" s="40">
        <f>IF(AND(P$4&gt;=$D27,P$4&lt;=$E27),1,"")</f>
        <v>1</v>
      </c>
      <c r="Q27" s="40" t="str">
        <f>IF(AND(Q$4&gt;=$D27,Q$4&lt;=$E27),1,"")</f>
        <v/>
      </c>
      <c r="R27" s="40" t="str">
        <f>IF(AND(R$4&gt;=$D27,R$4&lt;=$E27),1,"")</f>
        <v/>
      </c>
      <c r="S27" s="41" t="str">
        <f>IF(AND(S$4&gt;=$D27,S$4&lt;=$E27),1,"")</f>
        <v/>
      </c>
      <c r="T27" s="40" t="str">
        <f>IF(AND(T$4&gt;=$D27,T$4&lt;=$E27),1,"")</f>
        <v/>
      </c>
      <c r="U27" s="40" t="str">
        <f>IF(AND(U$4&gt;=$D27,U$4&lt;=$E27),1,"")</f>
        <v/>
      </c>
      <c r="V27" s="40" t="str">
        <f>IF(AND(V$4&gt;=$D27,V$4&lt;=$E27),1,"")</f>
        <v/>
      </c>
      <c r="W27" s="40" t="str">
        <f>IF(AND(W$4&gt;=$D27,W$4&lt;=$E27),1,"")</f>
        <v/>
      </c>
      <c r="X27" s="40" t="str">
        <f>IF(AND(X$4&gt;=$D27,X$4&lt;=$E27),1,"")</f>
        <v/>
      </c>
      <c r="Y27" s="41" t="str">
        <f>IF(AND(Y$4&gt;=$D27,Y$4&lt;=$E27),1,"")</f>
        <v/>
      </c>
      <c r="Z27" s="40" t="str">
        <f>IF(AND(Z$4&gt;=$D27,Z$4&lt;=$E27),1,"")</f>
        <v/>
      </c>
      <c r="AA27" s="40" t="str">
        <f>IF(AND(AA$4&gt;=$D27,AA$4&lt;=$E27),1,"")</f>
        <v/>
      </c>
      <c r="AB27" s="40" t="str">
        <f>IF(AND(AB$4&gt;=$D27,AB$4&lt;=$E27),1,"")</f>
        <v/>
      </c>
      <c r="AC27" s="41" t="str">
        <f>IF(AND(AC$4&gt;=$D27,AC$4&lt;=$E27),1,"")</f>
        <v/>
      </c>
      <c r="AD27" s="40" t="str">
        <f>IF(AND(AD$4&gt;=$D27,AD$4&lt;=$E27),1,"")</f>
        <v/>
      </c>
      <c r="AE27" s="40" t="str">
        <f>IF(AND(AE$4&gt;=$D27,AE$4&lt;=$E27),1,"")</f>
        <v/>
      </c>
    </row>
    <row r="28" spans="1:31" x14ac:dyDescent="0.25">
      <c r="A28" t="str">
        <f>Features!A22</f>
        <v>B8</v>
      </c>
      <c r="B28" t="str">
        <f>Features!C22</f>
        <v>Retrieval quality eval harness</v>
      </c>
      <c r="C28" t="str">
        <f>Features!E22</f>
        <v>MVP</v>
      </c>
      <c r="D28">
        <f>Features!I22</f>
        <v>6</v>
      </c>
      <c r="E28">
        <f>Features!J22</f>
        <v>8</v>
      </c>
      <c r="F28" s="40" t="str">
        <f>IF(AND(F$4&gt;=$D28,F$4&lt;=$E28),1,"")</f>
        <v/>
      </c>
      <c r="G28" s="40" t="str">
        <f>IF(AND(G$4&gt;=$D28,G$4&lt;=$E28),1,"")</f>
        <v/>
      </c>
      <c r="H28" s="40" t="str">
        <f>IF(AND(H$4&gt;=$D28,H$4&lt;=$E28),1,"")</f>
        <v/>
      </c>
      <c r="I28" s="41" t="str">
        <f>IF(AND(I$4&gt;=$D28,I$4&lt;=$E28),1,"")</f>
        <v/>
      </c>
      <c r="J28" s="40" t="str">
        <f>IF(AND(J$4&gt;=$D28,J$4&lt;=$E28),1,"")</f>
        <v/>
      </c>
      <c r="K28" s="40">
        <f>IF(AND(K$4&gt;=$D28,K$4&lt;=$E28),1,"")</f>
        <v>1</v>
      </c>
      <c r="L28" s="40">
        <f>IF(AND(L$4&gt;=$D28,L$4&lt;=$E28),1,"")</f>
        <v>1</v>
      </c>
      <c r="M28" s="41">
        <f>IF(AND(M$4&gt;=$D28,M$4&lt;=$E28),1,"")</f>
        <v>1</v>
      </c>
      <c r="N28" s="40" t="str">
        <f>IF(AND(N$4&gt;=$D28,N$4&lt;=$E28),1,"")</f>
        <v/>
      </c>
      <c r="O28" s="40" t="str">
        <f>IF(AND(O$4&gt;=$D28,O$4&lt;=$E28),1,"")</f>
        <v/>
      </c>
      <c r="P28" s="40" t="str">
        <f>IF(AND(P$4&gt;=$D28,P$4&lt;=$E28),1,"")</f>
        <v/>
      </c>
      <c r="Q28" s="40" t="str">
        <f>IF(AND(Q$4&gt;=$D28,Q$4&lt;=$E28),1,"")</f>
        <v/>
      </c>
      <c r="R28" s="40" t="str">
        <f>IF(AND(R$4&gt;=$D28,R$4&lt;=$E28),1,"")</f>
        <v/>
      </c>
      <c r="S28" s="41" t="str">
        <f>IF(AND(S$4&gt;=$D28,S$4&lt;=$E28),1,"")</f>
        <v/>
      </c>
      <c r="T28" s="40" t="str">
        <f>IF(AND(T$4&gt;=$D28,T$4&lt;=$E28),1,"")</f>
        <v/>
      </c>
      <c r="U28" s="40" t="str">
        <f>IF(AND(U$4&gt;=$D28,U$4&lt;=$E28),1,"")</f>
        <v/>
      </c>
      <c r="V28" s="40" t="str">
        <f>IF(AND(V$4&gt;=$D28,V$4&lt;=$E28),1,"")</f>
        <v/>
      </c>
      <c r="W28" s="40" t="str">
        <f>IF(AND(W$4&gt;=$D28,W$4&lt;=$E28),1,"")</f>
        <v/>
      </c>
      <c r="X28" s="40" t="str">
        <f>IF(AND(X$4&gt;=$D28,X$4&lt;=$E28),1,"")</f>
        <v/>
      </c>
      <c r="Y28" s="41" t="str">
        <f>IF(AND(Y$4&gt;=$D28,Y$4&lt;=$E28),1,"")</f>
        <v/>
      </c>
      <c r="Z28" s="40" t="str">
        <f>IF(AND(Z$4&gt;=$D28,Z$4&lt;=$E28),1,"")</f>
        <v/>
      </c>
      <c r="AA28" s="40" t="str">
        <f>IF(AND(AA$4&gt;=$D28,AA$4&lt;=$E28),1,"")</f>
        <v/>
      </c>
      <c r="AB28" s="40" t="str">
        <f>IF(AND(AB$4&gt;=$D28,AB$4&lt;=$E28),1,"")</f>
        <v/>
      </c>
      <c r="AC28" s="41" t="str">
        <f>IF(AND(AC$4&gt;=$D28,AC$4&lt;=$E28),1,"")</f>
        <v/>
      </c>
      <c r="AD28" s="40" t="str">
        <f>IF(AND(AD$4&gt;=$D28,AD$4&lt;=$E28),1,"")</f>
        <v/>
      </c>
      <c r="AE28" s="40" t="str">
        <f>IF(AND(AE$4&gt;=$D28,AE$4&lt;=$E28),1,"")</f>
        <v/>
      </c>
    </row>
    <row r="29" spans="1:29" x14ac:dyDescent="0.25">
      <c r="A29" s="43" t="s">
        <v>162</v>
      </c>
      <c r="B29" s="43"/>
      <c r="C29" s="43"/>
      <c r="D29" s="43"/>
      <c r="E29" s="43"/>
      <c r="I29" s="39"/>
      <c r="M29" s="39"/>
      <c r="S29" s="39"/>
      <c r="Y29" s="39"/>
      <c r="AC29" s="39"/>
    </row>
    <row r="30" spans="1:31" x14ac:dyDescent="0.25">
      <c r="A30" t="str">
        <f>Features!A24</f>
        <v>C2</v>
      </c>
      <c r="B30" t="str">
        <f>Features!C24</f>
        <v>MCP HTTP/SSE transport + auth middleware</v>
      </c>
      <c r="C30" t="str">
        <f>Features!E24</f>
        <v>MVP</v>
      </c>
      <c r="D30">
        <f>Features!I24</f>
        <v>3</v>
      </c>
      <c r="E30">
        <f>Features!J24</f>
        <v>5</v>
      </c>
      <c r="F30" s="40" t="str">
        <f>IF(AND(F$4&gt;=$D30,F$4&lt;=$E30),1,"")</f>
        <v/>
      </c>
      <c r="G30" s="40" t="str">
        <f>IF(AND(G$4&gt;=$D30,G$4&lt;=$E30),1,"")</f>
        <v/>
      </c>
      <c r="H30" s="40">
        <f>IF(AND(H$4&gt;=$D30,H$4&lt;=$E30),1,"")</f>
        <v>1</v>
      </c>
      <c r="I30" s="41">
        <f>IF(AND(I$4&gt;=$D30,I$4&lt;=$E30),1,"")</f>
        <v>1</v>
      </c>
      <c r="J30" s="40">
        <f>IF(AND(J$4&gt;=$D30,J$4&lt;=$E30),1,"")</f>
        <v>1</v>
      </c>
      <c r="K30" s="40" t="str">
        <f>IF(AND(K$4&gt;=$D30,K$4&lt;=$E30),1,"")</f>
        <v/>
      </c>
      <c r="L30" s="40" t="str">
        <f>IF(AND(L$4&gt;=$D30,L$4&lt;=$E30),1,"")</f>
        <v/>
      </c>
      <c r="M30" s="41" t="str">
        <f>IF(AND(M$4&gt;=$D30,M$4&lt;=$E30),1,"")</f>
        <v/>
      </c>
      <c r="N30" s="40" t="str">
        <f>IF(AND(N$4&gt;=$D30,N$4&lt;=$E30),1,"")</f>
        <v/>
      </c>
      <c r="O30" s="40" t="str">
        <f>IF(AND(O$4&gt;=$D30,O$4&lt;=$E30),1,"")</f>
        <v/>
      </c>
      <c r="P30" s="40" t="str">
        <f>IF(AND(P$4&gt;=$D30,P$4&lt;=$E30),1,"")</f>
        <v/>
      </c>
      <c r="Q30" s="40" t="str">
        <f>IF(AND(Q$4&gt;=$D30,Q$4&lt;=$E30),1,"")</f>
        <v/>
      </c>
      <c r="R30" s="40" t="str">
        <f>IF(AND(R$4&gt;=$D30,R$4&lt;=$E30),1,"")</f>
        <v/>
      </c>
      <c r="S30" s="41" t="str">
        <f>IF(AND(S$4&gt;=$D30,S$4&lt;=$E30),1,"")</f>
        <v/>
      </c>
      <c r="T30" s="40" t="str">
        <f>IF(AND(T$4&gt;=$D30,T$4&lt;=$E30),1,"")</f>
        <v/>
      </c>
      <c r="U30" s="40" t="str">
        <f>IF(AND(U$4&gt;=$D30,U$4&lt;=$E30),1,"")</f>
        <v/>
      </c>
      <c r="V30" s="40" t="str">
        <f>IF(AND(V$4&gt;=$D30,V$4&lt;=$E30),1,"")</f>
        <v/>
      </c>
      <c r="W30" s="40" t="str">
        <f>IF(AND(W$4&gt;=$D30,W$4&lt;=$E30),1,"")</f>
        <v/>
      </c>
      <c r="X30" s="40" t="str">
        <f>IF(AND(X$4&gt;=$D30,X$4&lt;=$E30),1,"")</f>
        <v/>
      </c>
      <c r="Y30" s="41" t="str">
        <f>IF(AND(Y$4&gt;=$D30,Y$4&lt;=$E30),1,"")</f>
        <v/>
      </c>
      <c r="Z30" s="40" t="str">
        <f>IF(AND(Z$4&gt;=$D30,Z$4&lt;=$E30),1,"")</f>
        <v/>
      </c>
      <c r="AA30" s="40" t="str">
        <f>IF(AND(AA$4&gt;=$D30,AA$4&lt;=$E30),1,"")</f>
        <v/>
      </c>
      <c r="AB30" s="40" t="str">
        <f>IF(AND(AB$4&gt;=$D30,AB$4&lt;=$E30),1,"")</f>
        <v/>
      </c>
      <c r="AC30" s="41" t="str">
        <f>IF(AND(AC$4&gt;=$D30,AC$4&lt;=$E30),1,"")</f>
        <v/>
      </c>
      <c r="AD30" s="40" t="str">
        <f>IF(AND(AD$4&gt;=$D30,AD$4&lt;=$E30),1,"")</f>
        <v/>
      </c>
      <c r="AE30" s="40" t="str">
        <f>IF(AND(AE$4&gt;=$D30,AE$4&lt;=$E30),1,"")</f>
        <v/>
      </c>
    </row>
    <row r="31" spans="1:31" x14ac:dyDescent="0.25">
      <c r="A31" t="str">
        <f>Features!A25</f>
        <v>C3</v>
      </c>
      <c r="B31" t="str">
        <f>Features!C25</f>
        <v>MCP uses managed identity for Search</v>
      </c>
      <c r="C31" t="str">
        <f>Features!E25</f>
        <v>MVP</v>
      </c>
      <c r="D31">
        <f>Features!I25</f>
        <v>5</v>
      </c>
      <c r="E31">
        <f>Features!J25</f>
        <v>6</v>
      </c>
      <c r="F31" s="40" t="str">
        <f>IF(AND(F$4&gt;=$D31,F$4&lt;=$E31),1,"")</f>
        <v/>
      </c>
      <c r="G31" s="40" t="str">
        <f>IF(AND(G$4&gt;=$D31,G$4&lt;=$E31),1,"")</f>
        <v/>
      </c>
      <c r="H31" s="40" t="str">
        <f>IF(AND(H$4&gt;=$D31,H$4&lt;=$E31),1,"")</f>
        <v/>
      </c>
      <c r="I31" s="41" t="str">
        <f>IF(AND(I$4&gt;=$D31,I$4&lt;=$E31),1,"")</f>
        <v/>
      </c>
      <c r="J31" s="40">
        <f>IF(AND(J$4&gt;=$D31,J$4&lt;=$E31),1,"")</f>
        <v>1</v>
      </c>
      <c r="K31" s="40">
        <f>IF(AND(K$4&gt;=$D31,K$4&lt;=$E31),1,"")</f>
        <v>1</v>
      </c>
      <c r="L31" s="40" t="str">
        <f>IF(AND(L$4&gt;=$D31,L$4&lt;=$E31),1,"")</f>
        <v/>
      </c>
      <c r="M31" s="41" t="str">
        <f>IF(AND(M$4&gt;=$D31,M$4&lt;=$E31),1,"")</f>
        <v/>
      </c>
      <c r="N31" s="40" t="str">
        <f>IF(AND(N$4&gt;=$D31,N$4&lt;=$E31),1,"")</f>
        <v/>
      </c>
      <c r="O31" s="40" t="str">
        <f>IF(AND(O$4&gt;=$D31,O$4&lt;=$E31),1,"")</f>
        <v/>
      </c>
      <c r="P31" s="40" t="str">
        <f>IF(AND(P$4&gt;=$D31,P$4&lt;=$E31),1,"")</f>
        <v/>
      </c>
      <c r="Q31" s="40" t="str">
        <f>IF(AND(Q$4&gt;=$D31,Q$4&lt;=$E31),1,"")</f>
        <v/>
      </c>
      <c r="R31" s="40" t="str">
        <f>IF(AND(R$4&gt;=$D31,R$4&lt;=$E31),1,"")</f>
        <v/>
      </c>
      <c r="S31" s="41" t="str">
        <f>IF(AND(S$4&gt;=$D31,S$4&lt;=$E31),1,"")</f>
        <v/>
      </c>
      <c r="T31" s="40" t="str">
        <f>IF(AND(T$4&gt;=$D31,T$4&lt;=$E31),1,"")</f>
        <v/>
      </c>
      <c r="U31" s="40" t="str">
        <f>IF(AND(U$4&gt;=$D31,U$4&lt;=$E31),1,"")</f>
        <v/>
      </c>
      <c r="V31" s="40" t="str">
        <f>IF(AND(V$4&gt;=$D31,V$4&lt;=$E31),1,"")</f>
        <v/>
      </c>
      <c r="W31" s="40" t="str">
        <f>IF(AND(W$4&gt;=$D31,W$4&lt;=$E31),1,"")</f>
        <v/>
      </c>
      <c r="X31" s="40" t="str">
        <f>IF(AND(X$4&gt;=$D31,X$4&lt;=$E31),1,"")</f>
        <v/>
      </c>
      <c r="Y31" s="41" t="str">
        <f>IF(AND(Y$4&gt;=$D31,Y$4&lt;=$E31),1,"")</f>
        <v/>
      </c>
      <c r="Z31" s="40" t="str">
        <f>IF(AND(Z$4&gt;=$D31,Z$4&lt;=$E31),1,"")</f>
        <v/>
      </c>
      <c r="AA31" s="40" t="str">
        <f>IF(AND(AA$4&gt;=$D31,AA$4&lt;=$E31),1,"")</f>
        <v/>
      </c>
      <c r="AB31" s="40" t="str">
        <f>IF(AND(AB$4&gt;=$D31,AB$4&lt;=$E31),1,"")</f>
        <v/>
      </c>
      <c r="AC31" s="41" t="str">
        <f>IF(AND(AC$4&gt;=$D31,AC$4&lt;=$E31),1,"")</f>
        <v/>
      </c>
      <c r="AD31" s="40" t="str">
        <f>IF(AND(AD$4&gt;=$D31,AD$4&lt;=$E31),1,"")</f>
        <v/>
      </c>
      <c r="AE31" s="40" t="str">
        <f>IF(AND(AE$4&gt;=$D31,AE$4&lt;=$E31),1,"")</f>
        <v/>
      </c>
    </row>
    <row r="32" spans="1:31" x14ac:dyDescent="0.25">
      <c r="A32" t="str">
        <f>Features!A26</f>
        <v>C4</v>
      </c>
      <c r="B32" t="str">
        <f>Features!C26</f>
        <v>New MCP tools</v>
      </c>
      <c r="C32" t="str">
        <f>Features!E26</f>
        <v>R2</v>
      </c>
      <c r="D32">
        <f>Features!I26</f>
        <v>12</v>
      </c>
      <c r="E32">
        <f>Features!J26</f>
        <v>14</v>
      </c>
      <c r="F32" s="40" t="str">
        <f>IF(AND(F$4&gt;=$D32,F$4&lt;=$E32),1,"")</f>
        <v/>
      </c>
      <c r="G32" s="40" t="str">
        <f>IF(AND(G$4&gt;=$D32,G$4&lt;=$E32),1,"")</f>
        <v/>
      </c>
      <c r="H32" s="40" t="str">
        <f>IF(AND(H$4&gt;=$D32,H$4&lt;=$E32),1,"")</f>
        <v/>
      </c>
      <c r="I32" s="41" t="str">
        <f>IF(AND(I$4&gt;=$D32,I$4&lt;=$E32),1,"")</f>
        <v/>
      </c>
      <c r="J32" s="40" t="str">
        <f>IF(AND(J$4&gt;=$D32,J$4&lt;=$E32),1,"")</f>
        <v/>
      </c>
      <c r="K32" s="40" t="str">
        <f>IF(AND(K$4&gt;=$D32,K$4&lt;=$E32),1,"")</f>
        <v/>
      </c>
      <c r="L32" s="40" t="str">
        <f>IF(AND(L$4&gt;=$D32,L$4&lt;=$E32),1,"")</f>
        <v/>
      </c>
      <c r="M32" s="41" t="str">
        <f>IF(AND(M$4&gt;=$D32,M$4&lt;=$E32),1,"")</f>
        <v/>
      </c>
      <c r="N32" s="40" t="str">
        <f>IF(AND(N$4&gt;=$D32,N$4&lt;=$E32),1,"")</f>
        <v/>
      </c>
      <c r="O32" s="40" t="str">
        <f>IF(AND(O$4&gt;=$D32,O$4&lt;=$E32),1,"")</f>
        <v/>
      </c>
      <c r="P32" s="40" t="str">
        <f>IF(AND(P$4&gt;=$D32,P$4&lt;=$E32),1,"")</f>
        <v/>
      </c>
      <c r="Q32" s="40">
        <f>IF(AND(Q$4&gt;=$D32,Q$4&lt;=$E32),1,"")</f>
        <v>1</v>
      </c>
      <c r="R32" s="40">
        <f>IF(AND(R$4&gt;=$D32,R$4&lt;=$E32),1,"")</f>
        <v>1</v>
      </c>
      <c r="S32" s="41">
        <f>IF(AND(S$4&gt;=$D32,S$4&lt;=$E32),1,"")</f>
        <v>1</v>
      </c>
      <c r="T32" s="40" t="str">
        <f>IF(AND(T$4&gt;=$D32,T$4&lt;=$E32),1,"")</f>
        <v/>
      </c>
      <c r="U32" s="40" t="str">
        <f>IF(AND(U$4&gt;=$D32,U$4&lt;=$E32),1,"")</f>
        <v/>
      </c>
      <c r="V32" s="40" t="str">
        <f>IF(AND(V$4&gt;=$D32,V$4&lt;=$E32),1,"")</f>
        <v/>
      </c>
      <c r="W32" s="40" t="str">
        <f>IF(AND(W$4&gt;=$D32,W$4&lt;=$E32),1,"")</f>
        <v/>
      </c>
      <c r="X32" s="40" t="str">
        <f>IF(AND(X$4&gt;=$D32,X$4&lt;=$E32),1,"")</f>
        <v/>
      </c>
      <c r="Y32" s="41" t="str">
        <f>IF(AND(Y$4&gt;=$D32,Y$4&lt;=$E32),1,"")</f>
        <v/>
      </c>
      <c r="Z32" s="40" t="str">
        <f>IF(AND(Z$4&gt;=$D32,Z$4&lt;=$E32),1,"")</f>
        <v/>
      </c>
      <c r="AA32" s="40" t="str">
        <f>IF(AND(AA$4&gt;=$D32,AA$4&lt;=$E32),1,"")</f>
        <v/>
      </c>
      <c r="AB32" s="40" t="str">
        <f>IF(AND(AB$4&gt;=$D32,AB$4&lt;=$E32),1,"")</f>
        <v/>
      </c>
      <c r="AC32" s="41" t="str">
        <f>IF(AND(AC$4&gt;=$D32,AC$4&lt;=$E32),1,"")</f>
        <v/>
      </c>
      <c r="AD32" s="40" t="str">
        <f>IF(AND(AD$4&gt;=$D32,AD$4&lt;=$E32),1,"")</f>
        <v/>
      </c>
      <c r="AE32" s="40" t="str">
        <f>IF(AND(AE$4&gt;=$D32,AE$4&lt;=$E32),1,"")</f>
        <v/>
      </c>
    </row>
    <row r="33" spans="1:31" x14ac:dyDescent="0.25">
      <c r="A33" t="str">
        <f>Features!A27</f>
        <v>C5</v>
      </c>
      <c r="B33" t="str">
        <f>Features!C27</f>
        <v>MCP rate limits, audit logs, tenant filters</v>
      </c>
      <c r="C33" t="str">
        <f>Features!E27</f>
        <v>R2</v>
      </c>
      <c r="D33">
        <f>Features!I27</f>
        <v>13</v>
      </c>
      <c r="E33">
        <f>Features!J27</f>
        <v>14</v>
      </c>
      <c r="F33" s="40" t="str">
        <f>IF(AND(F$4&gt;=$D33,F$4&lt;=$E33),1,"")</f>
        <v/>
      </c>
      <c r="G33" s="40" t="str">
        <f>IF(AND(G$4&gt;=$D33,G$4&lt;=$E33),1,"")</f>
        <v/>
      </c>
      <c r="H33" s="40" t="str">
        <f>IF(AND(H$4&gt;=$D33,H$4&lt;=$E33),1,"")</f>
        <v/>
      </c>
      <c r="I33" s="41" t="str">
        <f>IF(AND(I$4&gt;=$D33,I$4&lt;=$E33),1,"")</f>
        <v/>
      </c>
      <c r="J33" s="40" t="str">
        <f>IF(AND(J$4&gt;=$D33,J$4&lt;=$E33),1,"")</f>
        <v/>
      </c>
      <c r="K33" s="40" t="str">
        <f>IF(AND(K$4&gt;=$D33,K$4&lt;=$E33),1,"")</f>
        <v/>
      </c>
      <c r="L33" s="40" t="str">
        <f>IF(AND(L$4&gt;=$D33,L$4&lt;=$E33),1,"")</f>
        <v/>
      </c>
      <c r="M33" s="41" t="str">
        <f>IF(AND(M$4&gt;=$D33,M$4&lt;=$E33),1,"")</f>
        <v/>
      </c>
      <c r="N33" s="40" t="str">
        <f>IF(AND(N$4&gt;=$D33,N$4&lt;=$E33),1,"")</f>
        <v/>
      </c>
      <c r="O33" s="40" t="str">
        <f>IF(AND(O$4&gt;=$D33,O$4&lt;=$E33),1,"")</f>
        <v/>
      </c>
      <c r="P33" s="40" t="str">
        <f>IF(AND(P$4&gt;=$D33,P$4&lt;=$E33),1,"")</f>
        <v/>
      </c>
      <c r="Q33" s="40" t="str">
        <f>IF(AND(Q$4&gt;=$D33,Q$4&lt;=$E33),1,"")</f>
        <v/>
      </c>
      <c r="R33" s="40">
        <f>IF(AND(R$4&gt;=$D33,R$4&lt;=$E33),1,"")</f>
        <v>1</v>
      </c>
      <c r="S33" s="41">
        <f>IF(AND(S$4&gt;=$D33,S$4&lt;=$E33),1,"")</f>
        <v>1</v>
      </c>
      <c r="T33" s="40" t="str">
        <f>IF(AND(T$4&gt;=$D33,T$4&lt;=$E33),1,"")</f>
        <v/>
      </c>
      <c r="U33" s="40" t="str">
        <f>IF(AND(U$4&gt;=$D33,U$4&lt;=$E33),1,"")</f>
        <v/>
      </c>
      <c r="V33" s="40" t="str">
        <f>IF(AND(V$4&gt;=$D33,V$4&lt;=$E33),1,"")</f>
        <v/>
      </c>
      <c r="W33" s="40" t="str">
        <f>IF(AND(W$4&gt;=$D33,W$4&lt;=$E33),1,"")</f>
        <v/>
      </c>
      <c r="X33" s="40" t="str">
        <f>IF(AND(X$4&gt;=$D33,X$4&lt;=$E33),1,"")</f>
        <v/>
      </c>
      <c r="Y33" s="41" t="str">
        <f>IF(AND(Y$4&gt;=$D33,Y$4&lt;=$E33),1,"")</f>
        <v/>
      </c>
      <c r="Z33" s="40" t="str">
        <f>IF(AND(Z$4&gt;=$D33,Z$4&lt;=$E33),1,"")</f>
        <v/>
      </c>
      <c r="AA33" s="40" t="str">
        <f>IF(AND(AA$4&gt;=$D33,AA$4&lt;=$E33),1,"")</f>
        <v/>
      </c>
      <c r="AB33" s="40" t="str">
        <f>IF(AND(AB$4&gt;=$D33,AB$4&lt;=$E33),1,"")</f>
        <v/>
      </c>
      <c r="AC33" s="41" t="str">
        <f>IF(AND(AC$4&gt;=$D33,AC$4&lt;=$E33),1,"")</f>
        <v/>
      </c>
      <c r="AD33" s="40" t="str">
        <f>IF(AND(AD$4&gt;=$D33,AD$4&lt;=$E33),1,"")</f>
        <v/>
      </c>
      <c r="AE33" s="40" t="str">
        <f>IF(AND(AE$4&gt;=$D33,AE$4&lt;=$E33),1,"")</f>
        <v/>
      </c>
    </row>
    <row r="34" spans="1:29" x14ac:dyDescent="0.25">
      <c r="A34" s="44" t="s">
        <v>180</v>
      </c>
      <c r="B34" s="44"/>
      <c r="C34" s="44"/>
      <c r="D34" s="44"/>
      <c r="E34" s="44"/>
      <c r="I34" s="39"/>
      <c r="M34" s="39"/>
      <c r="S34" s="39"/>
      <c r="Y34" s="39"/>
      <c r="AC34" s="39"/>
    </row>
    <row r="35" spans="1:31" x14ac:dyDescent="0.25">
      <c r="A35" t="str">
        <f>Features!A32</f>
        <v>D5</v>
      </c>
      <c r="B35" t="str">
        <f>Features!C32</f>
        <v>Headless agent service on Azure</v>
      </c>
      <c r="C35" t="str">
        <f>Features!E32</f>
        <v>R2</v>
      </c>
      <c r="D35">
        <f>Features!I32</f>
        <v>9</v>
      </c>
      <c r="E35">
        <f>Features!J32</f>
        <v>14</v>
      </c>
      <c r="F35" s="40" t="str">
        <f>IF(AND(F$4&gt;=$D35,F$4&lt;=$E35),1,"")</f>
        <v/>
      </c>
      <c r="G35" s="40" t="str">
        <f>IF(AND(G$4&gt;=$D35,G$4&lt;=$E35),1,"")</f>
        <v/>
      </c>
      <c r="H35" s="40" t="str">
        <f>IF(AND(H$4&gt;=$D35,H$4&lt;=$E35),1,"")</f>
        <v/>
      </c>
      <c r="I35" s="41" t="str">
        <f>IF(AND(I$4&gt;=$D35,I$4&lt;=$E35),1,"")</f>
        <v/>
      </c>
      <c r="J35" s="40" t="str">
        <f>IF(AND(J$4&gt;=$D35,J$4&lt;=$E35),1,"")</f>
        <v/>
      </c>
      <c r="K35" s="40" t="str">
        <f>IF(AND(K$4&gt;=$D35,K$4&lt;=$E35),1,"")</f>
        <v/>
      </c>
      <c r="L35" s="40" t="str">
        <f>IF(AND(L$4&gt;=$D35,L$4&lt;=$E35),1,"")</f>
        <v/>
      </c>
      <c r="M35" s="41" t="str">
        <f>IF(AND(M$4&gt;=$D35,M$4&lt;=$E35),1,"")</f>
        <v/>
      </c>
      <c r="N35" s="40">
        <f>IF(AND(N$4&gt;=$D35,N$4&lt;=$E35),1,"")</f>
        <v>1</v>
      </c>
      <c r="O35" s="40">
        <f>IF(AND(O$4&gt;=$D35,O$4&lt;=$E35),1,"")</f>
        <v>1</v>
      </c>
      <c r="P35" s="40">
        <f>IF(AND(P$4&gt;=$D35,P$4&lt;=$E35),1,"")</f>
        <v>1</v>
      </c>
      <c r="Q35" s="40">
        <f>IF(AND(Q$4&gt;=$D35,Q$4&lt;=$E35),1,"")</f>
        <v>1</v>
      </c>
      <c r="R35" s="40">
        <f>IF(AND(R$4&gt;=$D35,R$4&lt;=$E35),1,"")</f>
        <v>1</v>
      </c>
      <c r="S35" s="41">
        <f>IF(AND(S$4&gt;=$D35,S$4&lt;=$E35),1,"")</f>
        <v>1</v>
      </c>
      <c r="T35" s="40" t="str">
        <f>IF(AND(T$4&gt;=$D35,T$4&lt;=$E35),1,"")</f>
        <v/>
      </c>
      <c r="U35" s="40" t="str">
        <f>IF(AND(U$4&gt;=$D35,U$4&lt;=$E35),1,"")</f>
        <v/>
      </c>
      <c r="V35" s="40" t="str">
        <f>IF(AND(V$4&gt;=$D35,V$4&lt;=$E35),1,"")</f>
        <v/>
      </c>
      <c r="W35" s="40" t="str">
        <f>IF(AND(W$4&gt;=$D35,W$4&lt;=$E35),1,"")</f>
        <v/>
      </c>
      <c r="X35" s="40" t="str">
        <f>IF(AND(X$4&gt;=$D35,X$4&lt;=$E35),1,"")</f>
        <v/>
      </c>
      <c r="Y35" s="41" t="str">
        <f>IF(AND(Y$4&gt;=$D35,Y$4&lt;=$E35),1,"")</f>
        <v/>
      </c>
      <c r="Z35" s="40" t="str">
        <f>IF(AND(Z$4&gt;=$D35,Z$4&lt;=$E35),1,"")</f>
        <v/>
      </c>
      <c r="AA35" s="40" t="str">
        <f>IF(AND(AA$4&gt;=$D35,AA$4&lt;=$E35),1,"")</f>
        <v/>
      </c>
      <c r="AB35" s="40" t="str">
        <f>IF(AND(AB$4&gt;=$D35,AB$4&lt;=$E35),1,"")</f>
        <v/>
      </c>
      <c r="AC35" s="41" t="str">
        <f>IF(AND(AC$4&gt;=$D35,AC$4&lt;=$E35),1,"")</f>
        <v/>
      </c>
      <c r="AD35" s="40" t="str">
        <f>IF(AND(AD$4&gt;=$D35,AD$4&lt;=$E35),1,"")</f>
        <v/>
      </c>
      <c r="AE35" s="40" t="str">
        <f>IF(AND(AE$4&gt;=$D35,AE$4&lt;=$E35),1,"")</f>
        <v/>
      </c>
    </row>
    <row r="36" spans="1:31" x14ac:dyDescent="0.25">
      <c r="A36" t="str">
        <f>Features!A33</f>
        <v>D6</v>
      </c>
      <c r="B36" t="str">
        <f>Features!C33</f>
        <v>LLM proxy on Azure</v>
      </c>
      <c r="C36" t="str">
        <f>Features!E33</f>
        <v>MVP</v>
      </c>
      <c r="D36">
        <f>Features!I33</f>
        <v>4</v>
      </c>
      <c r="E36">
        <f>Features!J33</f>
        <v>7</v>
      </c>
      <c r="F36" s="40" t="str">
        <f>IF(AND(F$4&gt;=$D36,F$4&lt;=$E36),1,"")</f>
        <v/>
      </c>
      <c r="G36" s="40" t="str">
        <f>IF(AND(G$4&gt;=$D36,G$4&lt;=$E36),1,"")</f>
        <v/>
      </c>
      <c r="H36" s="40" t="str">
        <f>IF(AND(H$4&gt;=$D36,H$4&lt;=$E36),1,"")</f>
        <v/>
      </c>
      <c r="I36" s="41">
        <f>IF(AND(I$4&gt;=$D36,I$4&lt;=$E36),1,"")</f>
        <v>1</v>
      </c>
      <c r="J36" s="40">
        <f>IF(AND(J$4&gt;=$D36,J$4&lt;=$E36),1,"")</f>
        <v>1</v>
      </c>
      <c r="K36" s="40">
        <f>IF(AND(K$4&gt;=$D36,K$4&lt;=$E36),1,"")</f>
        <v>1</v>
      </c>
      <c r="L36" s="40">
        <f>IF(AND(L$4&gt;=$D36,L$4&lt;=$E36),1,"")</f>
        <v>1</v>
      </c>
      <c r="M36" s="41" t="str">
        <f>IF(AND(M$4&gt;=$D36,M$4&lt;=$E36),1,"")</f>
        <v/>
      </c>
      <c r="N36" s="40" t="str">
        <f>IF(AND(N$4&gt;=$D36,N$4&lt;=$E36),1,"")</f>
        <v/>
      </c>
      <c r="O36" s="40" t="str">
        <f>IF(AND(O$4&gt;=$D36,O$4&lt;=$E36),1,"")</f>
        <v/>
      </c>
      <c r="P36" s="40" t="str">
        <f>IF(AND(P$4&gt;=$D36,P$4&lt;=$E36),1,"")</f>
        <v/>
      </c>
      <c r="Q36" s="40" t="str">
        <f>IF(AND(Q$4&gt;=$D36,Q$4&lt;=$E36),1,"")</f>
        <v/>
      </c>
      <c r="R36" s="40" t="str">
        <f>IF(AND(R$4&gt;=$D36,R$4&lt;=$E36),1,"")</f>
        <v/>
      </c>
      <c r="S36" s="41" t="str">
        <f>IF(AND(S$4&gt;=$D36,S$4&lt;=$E36),1,"")</f>
        <v/>
      </c>
      <c r="T36" s="40" t="str">
        <f>IF(AND(T$4&gt;=$D36,T$4&lt;=$E36),1,"")</f>
        <v/>
      </c>
      <c r="U36" s="40" t="str">
        <f>IF(AND(U$4&gt;=$D36,U$4&lt;=$E36),1,"")</f>
        <v/>
      </c>
      <c r="V36" s="40" t="str">
        <f>IF(AND(V$4&gt;=$D36,V$4&lt;=$E36),1,"")</f>
        <v/>
      </c>
      <c r="W36" s="40" t="str">
        <f>IF(AND(W$4&gt;=$D36,W$4&lt;=$E36),1,"")</f>
        <v/>
      </c>
      <c r="X36" s="40" t="str">
        <f>IF(AND(X$4&gt;=$D36,X$4&lt;=$E36),1,"")</f>
        <v/>
      </c>
      <c r="Y36" s="41" t="str">
        <f>IF(AND(Y$4&gt;=$D36,Y$4&lt;=$E36),1,"")</f>
        <v/>
      </c>
      <c r="Z36" s="40" t="str">
        <f>IF(AND(Z$4&gt;=$D36,Z$4&lt;=$E36),1,"")</f>
        <v/>
      </c>
      <c r="AA36" s="40" t="str">
        <f>IF(AND(AA$4&gt;=$D36,AA$4&lt;=$E36),1,"")</f>
        <v/>
      </c>
      <c r="AB36" s="40" t="str">
        <f>IF(AND(AB$4&gt;=$D36,AB$4&lt;=$E36),1,"")</f>
        <v/>
      </c>
      <c r="AC36" s="41" t="str">
        <f>IF(AND(AC$4&gt;=$D36,AC$4&lt;=$E36),1,"")</f>
        <v/>
      </c>
      <c r="AD36" s="40" t="str">
        <f>IF(AND(AD$4&gt;=$D36,AD$4&lt;=$E36),1,"")</f>
        <v/>
      </c>
      <c r="AE36" s="40" t="str">
        <f>IF(AND(AE$4&gt;=$D36,AE$4&lt;=$E36),1,"")</f>
        <v/>
      </c>
    </row>
    <row r="37" spans="1:31" x14ac:dyDescent="0.25">
      <c r="A37" t="str">
        <f>Features!A34</f>
        <v>D7</v>
      </c>
      <c r="B37" t="str">
        <f>Features!C34</f>
        <v>Clean Core validation loop</v>
      </c>
      <c r="C37" t="str">
        <f>Features!E34</f>
        <v>R2</v>
      </c>
      <c r="D37">
        <f>Features!I34</f>
        <v>9</v>
      </c>
      <c r="E37">
        <f>Features!J34</f>
        <v>13</v>
      </c>
      <c r="F37" s="40" t="str">
        <f>IF(AND(F$4&gt;=$D37,F$4&lt;=$E37),1,"")</f>
        <v/>
      </c>
      <c r="G37" s="40" t="str">
        <f>IF(AND(G$4&gt;=$D37,G$4&lt;=$E37),1,"")</f>
        <v/>
      </c>
      <c r="H37" s="40" t="str">
        <f>IF(AND(H$4&gt;=$D37,H$4&lt;=$E37),1,"")</f>
        <v/>
      </c>
      <c r="I37" s="41" t="str">
        <f>IF(AND(I$4&gt;=$D37,I$4&lt;=$E37),1,"")</f>
        <v/>
      </c>
      <c r="J37" s="40" t="str">
        <f>IF(AND(J$4&gt;=$D37,J$4&lt;=$E37),1,"")</f>
        <v/>
      </c>
      <c r="K37" s="40" t="str">
        <f>IF(AND(K$4&gt;=$D37,K$4&lt;=$E37),1,"")</f>
        <v/>
      </c>
      <c r="L37" s="40" t="str">
        <f>IF(AND(L$4&gt;=$D37,L$4&lt;=$E37),1,"")</f>
        <v/>
      </c>
      <c r="M37" s="41" t="str">
        <f>IF(AND(M$4&gt;=$D37,M$4&lt;=$E37),1,"")</f>
        <v/>
      </c>
      <c r="N37" s="40">
        <f>IF(AND(N$4&gt;=$D37,N$4&lt;=$E37),1,"")</f>
        <v>1</v>
      </c>
      <c r="O37" s="40">
        <f>IF(AND(O$4&gt;=$D37,O$4&lt;=$E37),1,"")</f>
        <v>1</v>
      </c>
      <c r="P37" s="40">
        <f>IF(AND(P$4&gt;=$D37,P$4&lt;=$E37),1,"")</f>
        <v>1</v>
      </c>
      <c r="Q37" s="40">
        <f>IF(AND(Q$4&gt;=$D37,Q$4&lt;=$E37),1,"")</f>
        <v>1</v>
      </c>
      <c r="R37" s="40">
        <f>IF(AND(R$4&gt;=$D37,R$4&lt;=$E37),1,"")</f>
        <v>1</v>
      </c>
      <c r="S37" s="41" t="str">
        <f>IF(AND(S$4&gt;=$D37,S$4&lt;=$E37),1,"")</f>
        <v/>
      </c>
      <c r="T37" s="40" t="str">
        <f>IF(AND(T$4&gt;=$D37,T$4&lt;=$E37),1,"")</f>
        <v/>
      </c>
      <c r="U37" s="40" t="str">
        <f>IF(AND(U$4&gt;=$D37,U$4&lt;=$E37),1,"")</f>
        <v/>
      </c>
      <c r="V37" s="40" t="str">
        <f>IF(AND(V$4&gt;=$D37,V$4&lt;=$E37),1,"")</f>
        <v/>
      </c>
      <c r="W37" s="40" t="str">
        <f>IF(AND(W$4&gt;=$D37,W$4&lt;=$E37),1,"")</f>
        <v/>
      </c>
      <c r="X37" s="40" t="str">
        <f>IF(AND(X$4&gt;=$D37,X$4&lt;=$E37),1,"")</f>
        <v/>
      </c>
      <c r="Y37" s="41" t="str">
        <f>IF(AND(Y$4&gt;=$D37,Y$4&lt;=$E37),1,"")</f>
        <v/>
      </c>
      <c r="Z37" s="40" t="str">
        <f>IF(AND(Z$4&gt;=$D37,Z$4&lt;=$E37),1,"")</f>
        <v/>
      </c>
      <c r="AA37" s="40" t="str">
        <f>IF(AND(AA$4&gt;=$D37,AA$4&lt;=$E37),1,"")</f>
        <v/>
      </c>
      <c r="AB37" s="40" t="str">
        <f>IF(AND(AB$4&gt;=$D37,AB$4&lt;=$E37),1,"")</f>
        <v/>
      </c>
      <c r="AC37" s="41" t="str">
        <f>IF(AND(AC$4&gt;=$D37,AC$4&lt;=$E37),1,"")</f>
        <v/>
      </c>
      <c r="AD37" s="40" t="str">
        <f>IF(AND(AD$4&gt;=$D37,AD$4&lt;=$E37),1,"")</f>
        <v/>
      </c>
      <c r="AE37" s="40" t="str">
        <f>IF(AND(AE$4&gt;=$D37,AE$4&lt;=$E37),1,"")</f>
        <v/>
      </c>
    </row>
    <row r="38" spans="1:31" x14ac:dyDescent="0.25">
      <c r="A38" t="str">
        <f>Features!A35</f>
        <v>D8</v>
      </c>
      <c r="B38" t="str">
        <f>Features!C35</f>
        <v>Source citations in generated output</v>
      </c>
      <c r="C38" t="str">
        <f>Features!E35</f>
        <v>R2</v>
      </c>
      <c r="D38">
        <f>Features!I35</f>
        <v>12</v>
      </c>
      <c r="E38">
        <f>Features!J35</f>
        <v>14</v>
      </c>
      <c r="F38" s="40" t="str">
        <f>IF(AND(F$4&gt;=$D38,F$4&lt;=$E38),1,"")</f>
        <v/>
      </c>
      <c r="G38" s="40" t="str">
        <f>IF(AND(G$4&gt;=$D38,G$4&lt;=$E38),1,"")</f>
        <v/>
      </c>
      <c r="H38" s="40" t="str">
        <f>IF(AND(H$4&gt;=$D38,H$4&lt;=$E38),1,"")</f>
        <v/>
      </c>
      <c r="I38" s="41" t="str">
        <f>IF(AND(I$4&gt;=$D38,I$4&lt;=$E38),1,"")</f>
        <v/>
      </c>
      <c r="J38" s="40" t="str">
        <f>IF(AND(J$4&gt;=$D38,J$4&lt;=$E38),1,"")</f>
        <v/>
      </c>
      <c r="K38" s="40" t="str">
        <f>IF(AND(K$4&gt;=$D38,K$4&lt;=$E38),1,"")</f>
        <v/>
      </c>
      <c r="L38" s="40" t="str">
        <f>IF(AND(L$4&gt;=$D38,L$4&lt;=$E38),1,"")</f>
        <v/>
      </c>
      <c r="M38" s="41" t="str">
        <f>IF(AND(M$4&gt;=$D38,M$4&lt;=$E38),1,"")</f>
        <v/>
      </c>
      <c r="N38" s="40" t="str">
        <f>IF(AND(N$4&gt;=$D38,N$4&lt;=$E38),1,"")</f>
        <v/>
      </c>
      <c r="O38" s="40" t="str">
        <f>IF(AND(O$4&gt;=$D38,O$4&lt;=$E38),1,"")</f>
        <v/>
      </c>
      <c r="P38" s="40" t="str">
        <f>IF(AND(P$4&gt;=$D38,P$4&lt;=$E38),1,"")</f>
        <v/>
      </c>
      <c r="Q38" s="40">
        <f>IF(AND(Q$4&gt;=$D38,Q$4&lt;=$E38),1,"")</f>
        <v>1</v>
      </c>
      <c r="R38" s="40">
        <f>IF(AND(R$4&gt;=$D38,R$4&lt;=$E38),1,"")</f>
        <v>1</v>
      </c>
      <c r="S38" s="41">
        <f>IF(AND(S$4&gt;=$D38,S$4&lt;=$E38),1,"")</f>
        <v>1</v>
      </c>
      <c r="T38" s="40" t="str">
        <f>IF(AND(T$4&gt;=$D38,T$4&lt;=$E38),1,"")</f>
        <v/>
      </c>
      <c r="U38" s="40" t="str">
        <f>IF(AND(U$4&gt;=$D38,U$4&lt;=$E38),1,"")</f>
        <v/>
      </c>
      <c r="V38" s="40" t="str">
        <f>IF(AND(V$4&gt;=$D38,V$4&lt;=$E38),1,"")</f>
        <v/>
      </c>
      <c r="W38" s="40" t="str">
        <f>IF(AND(W$4&gt;=$D38,W$4&lt;=$E38),1,"")</f>
        <v/>
      </c>
      <c r="X38" s="40" t="str">
        <f>IF(AND(X$4&gt;=$D38,X$4&lt;=$E38),1,"")</f>
        <v/>
      </c>
      <c r="Y38" s="41" t="str">
        <f>IF(AND(Y$4&gt;=$D38,Y$4&lt;=$E38),1,"")</f>
        <v/>
      </c>
      <c r="Z38" s="40" t="str">
        <f>IF(AND(Z$4&gt;=$D38,Z$4&lt;=$E38),1,"")</f>
        <v/>
      </c>
      <c r="AA38" s="40" t="str">
        <f>IF(AND(AA$4&gt;=$D38,AA$4&lt;=$E38),1,"")</f>
        <v/>
      </c>
      <c r="AB38" s="40" t="str">
        <f>IF(AND(AB$4&gt;=$D38,AB$4&lt;=$E38),1,"")</f>
        <v/>
      </c>
      <c r="AC38" s="41" t="str">
        <f>IF(AND(AC$4&gt;=$D38,AC$4&lt;=$E38),1,"")</f>
        <v/>
      </c>
      <c r="AD38" s="40" t="str">
        <f>IF(AND(AD$4&gt;=$D38,AD$4&lt;=$E38),1,"")</f>
        <v/>
      </c>
      <c r="AE38" s="40" t="str">
        <f>IF(AND(AE$4&gt;=$D38,AE$4&lt;=$E38),1,"")</f>
        <v/>
      </c>
    </row>
    <row r="39" spans="1:31" x14ac:dyDescent="0.25">
      <c r="A39" t="str">
        <f>Features!A36</f>
        <v>D9</v>
      </c>
      <c r="B39" t="str">
        <f>Features!C36</f>
        <v>Agent marketplace (Sprint 7)</v>
      </c>
      <c r="C39" t="str">
        <f>Features!E36</f>
        <v>R3</v>
      </c>
      <c r="D39">
        <f>Features!I36</f>
        <v>15</v>
      </c>
      <c r="E39">
        <f>Features!J36</f>
        <v>20</v>
      </c>
      <c r="F39" s="40" t="str">
        <f>IF(AND(F$4&gt;=$D39,F$4&lt;=$E39),1,"")</f>
        <v/>
      </c>
      <c r="G39" s="40" t="str">
        <f>IF(AND(G$4&gt;=$D39,G$4&lt;=$E39),1,"")</f>
        <v/>
      </c>
      <c r="H39" s="40" t="str">
        <f>IF(AND(H$4&gt;=$D39,H$4&lt;=$E39),1,"")</f>
        <v/>
      </c>
      <c r="I39" s="41" t="str">
        <f>IF(AND(I$4&gt;=$D39,I$4&lt;=$E39),1,"")</f>
        <v/>
      </c>
      <c r="J39" s="40" t="str">
        <f>IF(AND(J$4&gt;=$D39,J$4&lt;=$E39),1,"")</f>
        <v/>
      </c>
      <c r="K39" s="40" t="str">
        <f>IF(AND(K$4&gt;=$D39,K$4&lt;=$E39),1,"")</f>
        <v/>
      </c>
      <c r="L39" s="40" t="str">
        <f>IF(AND(L$4&gt;=$D39,L$4&lt;=$E39),1,"")</f>
        <v/>
      </c>
      <c r="M39" s="41" t="str">
        <f>IF(AND(M$4&gt;=$D39,M$4&lt;=$E39),1,"")</f>
        <v/>
      </c>
      <c r="N39" s="40" t="str">
        <f>IF(AND(N$4&gt;=$D39,N$4&lt;=$E39),1,"")</f>
        <v/>
      </c>
      <c r="O39" s="40" t="str">
        <f>IF(AND(O$4&gt;=$D39,O$4&lt;=$E39),1,"")</f>
        <v/>
      </c>
      <c r="P39" s="40" t="str">
        <f>IF(AND(P$4&gt;=$D39,P$4&lt;=$E39),1,"")</f>
        <v/>
      </c>
      <c r="Q39" s="40" t="str">
        <f>IF(AND(Q$4&gt;=$D39,Q$4&lt;=$E39),1,"")</f>
        <v/>
      </c>
      <c r="R39" s="40" t="str">
        <f>IF(AND(R$4&gt;=$D39,R$4&lt;=$E39),1,"")</f>
        <v/>
      </c>
      <c r="S39" s="41" t="str">
        <f>IF(AND(S$4&gt;=$D39,S$4&lt;=$E39),1,"")</f>
        <v/>
      </c>
      <c r="T39" s="40">
        <f>IF(AND(T$4&gt;=$D39,T$4&lt;=$E39),1,"")</f>
        <v>1</v>
      </c>
      <c r="U39" s="40">
        <f>IF(AND(U$4&gt;=$D39,U$4&lt;=$E39),1,"")</f>
        <v>1</v>
      </c>
      <c r="V39" s="40">
        <f>IF(AND(V$4&gt;=$D39,V$4&lt;=$E39),1,"")</f>
        <v>1</v>
      </c>
      <c r="W39" s="40">
        <f>IF(AND(W$4&gt;=$D39,W$4&lt;=$E39),1,"")</f>
        <v>1</v>
      </c>
      <c r="X39" s="40">
        <f>IF(AND(X$4&gt;=$D39,X$4&lt;=$E39),1,"")</f>
        <v>1</v>
      </c>
      <c r="Y39" s="41">
        <f>IF(AND(Y$4&gt;=$D39,Y$4&lt;=$E39),1,"")</f>
        <v>1</v>
      </c>
      <c r="Z39" s="40" t="str">
        <f>IF(AND(Z$4&gt;=$D39,Z$4&lt;=$E39),1,"")</f>
        <v/>
      </c>
      <c r="AA39" s="40" t="str">
        <f>IF(AND(AA$4&gt;=$D39,AA$4&lt;=$E39),1,"")</f>
        <v/>
      </c>
      <c r="AB39" s="40" t="str">
        <f>IF(AND(AB$4&gt;=$D39,AB$4&lt;=$E39),1,"")</f>
        <v/>
      </c>
      <c r="AC39" s="41" t="str">
        <f>IF(AND(AC$4&gt;=$D39,AC$4&lt;=$E39),1,"")</f>
        <v/>
      </c>
      <c r="AD39" s="40" t="str">
        <f>IF(AND(AD$4&gt;=$D39,AD$4&lt;=$E39),1,"")</f>
        <v/>
      </c>
      <c r="AE39" s="40" t="str">
        <f>IF(AND(AE$4&gt;=$D39,AE$4&lt;=$E39),1,"")</f>
        <v/>
      </c>
    </row>
    <row r="40" spans="1:31" x14ac:dyDescent="0.25">
      <c r="A40" t="str">
        <f>Features!A37</f>
        <v>D10</v>
      </c>
      <c r="B40" t="str">
        <f>Features!C37</f>
        <v>Multi-model routing</v>
      </c>
      <c r="C40" t="str">
        <f>Features!E37</f>
        <v>R3</v>
      </c>
      <c r="D40">
        <f>Features!I37</f>
        <v>14</v>
      </c>
      <c r="E40">
        <f>Features!J37</f>
        <v>17</v>
      </c>
      <c r="F40" s="40" t="str">
        <f>IF(AND(F$4&gt;=$D40,F$4&lt;=$E40),1,"")</f>
        <v/>
      </c>
      <c r="G40" s="40" t="str">
        <f>IF(AND(G$4&gt;=$D40,G$4&lt;=$E40),1,"")</f>
        <v/>
      </c>
      <c r="H40" s="40" t="str">
        <f>IF(AND(H$4&gt;=$D40,H$4&lt;=$E40),1,"")</f>
        <v/>
      </c>
      <c r="I40" s="41" t="str">
        <f>IF(AND(I$4&gt;=$D40,I$4&lt;=$E40),1,"")</f>
        <v/>
      </c>
      <c r="J40" s="40" t="str">
        <f>IF(AND(J$4&gt;=$D40,J$4&lt;=$E40),1,"")</f>
        <v/>
      </c>
      <c r="K40" s="40" t="str">
        <f>IF(AND(K$4&gt;=$D40,K$4&lt;=$E40),1,"")</f>
        <v/>
      </c>
      <c r="L40" s="40" t="str">
        <f>IF(AND(L$4&gt;=$D40,L$4&lt;=$E40),1,"")</f>
        <v/>
      </c>
      <c r="M40" s="41" t="str">
        <f>IF(AND(M$4&gt;=$D40,M$4&lt;=$E40),1,"")</f>
        <v/>
      </c>
      <c r="N40" s="40" t="str">
        <f>IF(AND(N$4&gt;=$D40,N$4&lt;=$E40),1,"")</f>
        <v/>
      </c>
      <c r="O40" s="40" t="str">
        <f>IF(AND(O$4&gt;=$D40,O$4&lt;=$E40),1,"")</f>
        <v/>
      </c>
      <c r="P40" s="40" t="str">
        <f>IF(AND(P$4&gt;=$D40,P$4&lt;=$E40),1,"")</f>
        <v/>
      </c>
      <c r="Q40" s="40" t="str">
        <f>IF(AND(Q$4&gt;=$D40,Q$4&lt;=$E40),1,"")</f>
        <v/>
      </c>
      <c r="R40" s="40" t="str">
        <f>IF(AND(R$4&gt;=$D40,R$4&lt;=$E40),1,"")</f>
        <v/>
      </c>
      <c r="S40" s="41">
        <f>IF(AND(S$4&gt;=$D40,S$4&lt;=$E40),1,"")</f>
        <v>1</v>
      </c>
      <c r="T40" s="40">
        <f>IF(AND(T$4&gt;=$D40,T$4&lt;=$E40),1,"")</f>
        <v>1</v>
      </c>
      <c r="U40" s="40">
        <f>IF(AND(U$4&gt;=$D40,U$4&lt;=$E40),1,"")</f>
        <v>1</v>
      </c>
      <c r="V40" s="40">
        <f>IF(AND(V$4&gt;=$D40,V$4&lt;=$E40),1,"")</f>
        <v>1</v>
      </c>
      <c r="W40" s="40" t="str">
        <f>IF(AND(W$4&gt;=$D40,W$4&lt;=$E40),1,"")</f>
        <v/>
      </c>
      <c r="X40" s="40" t="str">
        <f>IF(AND(X$4&gt;=$D40,X$4&lt;=$E40),1,"")</f>
        <v/>
      </c>
      <c r="Y40" s="41" t="str">
        <f>IF(AND(Y$4&gt;=$D40,Y$4&lt;=$E40),1,"")</f>
        <v/>
      </c>
      <c r="Z40" s="40" t="str">
        <f>IF(AND(Z$4&gt;=$D40,Z$4&lt;=$E40),1,"")</f>
        <v/>
      </c>
      <c r="AA40" s="40" t="str">
        <f>IF(AND(AA$4&gt;=$D40,AA$4&lt;=$E40),1,"")</f>
        <v/>
      </c>
      <c r="AB40" s="40" t="str">
        <f>IF(AND(AB$4&gt;=$D40,AB$4&lt;=$E40),1,"")</f>
        <v/>
      </c>
      <c r="AC40" s="41" t="str">
        <f>IF(AND(AC$4&gt;=$D40,AC$4&lt;=$E40),1,"")</f>
        <v/>
      </c>
      <c r="AD40" s="40" t="str">
        <f>IF(AND(AD$4&gt;=$D40,AD$4&lt;=$E40),1,"")</f>
        <v/>
      </c>
      <c r="AE40" s="40" t="str">
        <f>IF(AND(AE$4&gt;=$D40,AE$4&lt;=$E40),1,"")</f>
        <v/>
      </c>
    </row>
    <row r="41" spans="1:31" x14ac:dyDescent="0.25">
      <c r="A41" t="str">
        <f>Features!A38</f>
        <v>D11</v>
      </c>
      <c r="B41" t="str">
        <f>Features!C38</f>
        <v>Prompt registry + eval regression suite</v>
      </c>
      <c r="C41" t="str">
        <f>Features!E38</f>
        <v>R3</v>
      </c>
      <c r="D41">
        <f>Features!I38</f>
        <v>16</v>
      </c>
      <c r="E41">
        <f>Features!J38</f>
        <v>19</v>
      </c>
      <c r="F41" s="40" t="str">
        <f>IF(AND(F$4&gt;=$D41,F$4&lt;=$E41),1,"")</f>
        <v/>
      </c>
      <c r="G41" s="40" t="str">
        <f>IF(AND(G$4&gt;=$D41,G$4&lt;=$E41),1,"")</f>
        <v/>
      </c>
      <c r="H41" s="40" t="str">
        <f>IF(AND(H$4&gt;=$D41,H$4&lt;=$E41),1,"")</f>
        <v/>
      </c>
      <c r="I41" s="41" t="str">
        <f>IF(AND(I$4&gt;=$D41,I$4&lt;=$E41),1,"")</f>
        <v/>
      </c>
      <c r="J41" s="40" t="str">
        <f>IF(AND(J$4&gt;=$D41,J$4&lt;=$E41),1,"")</f>
        <v/>
      </c>
      <c r="K41" s="40" t="str">
        <f>IF(AND(K$4&gt;=$D41,K$4&lt;=$E41),1,"")</f>
        <v/>
      </c>
      <c r="L41" s="40" t="str">
        <f>IF(AND(L$4&gt;=$D41,L$4&lt;=$E41),1,"")</f>
        <v/>
      </c>
      <c r="M41" s="41" t="str">
        <f>IF(AND(M$4&gt;=$D41,M$4&lt;=$E41),1,"")</f>
        <v/>
      </c>
      <c r="N41" s="40" t="str">
        <f>IF(AND(N$4&gt;=$D41,N$4&lt;=$E41),1,"")</f>
        <v/>
      </c>
      <c r="O41" s="40" t="str">
        <f>IF(AND(O$4&gt;=$D41,O$4&lt;=$E41),1,"")</f>
        <v/>
      </c>
      <c r="P41" s="40" t="str">
        <f>IF(AND(P$4&gt;=$D41,P$4&lt;=$E41),1,"")</f>
        <v/>
      </c>
      <c r="Q41" s="40" t="str">
        <f>IF(AND(Q$4&gt;=$D41,Q$4&lt;=$E41),1,"")</f>
        <v/>
      </c>
      <c r="R41" s="40" t="str">
        <f>IF(AND(R$4&gt;=$D41,R$4&lt;=$E41),1,"")</f>
        <v/>
      </c>
      <c r="S41" s="41" t="str">
        <f>IF(AND(S$4&gt;=$D41,S$4&lt;=$E41),1,"")</f>
        <v/>
      </c>
      <c r="T41" s="40" t="str">
        <f>IF(AND(T$4&gt;=$D41,T$4&lt;=$E41),1,"")</f>
        <v/>
      </c>
      <c r="U41" s="40">
        <f>IF(AND(U$4&gt;=$D41,U$4&lt;=$E41),1,"")</f>
        <v>1</v>
      </c>
      <c r="V41" s="40">
        <f>IF(AND(V$4&gt;=$D41,V$4&lt;=$E41),1,"")</f>
        <v>1</v>
      </c>
      <c r="W41" s="40">
        <f>IF(AND(W$4&gt;=$D41,W$4&lt;=$E41),1,"")</f>
        <v>1</v>
      </c>
      <c r="X41" s="40">
        <f>IF(AND(X$4&gt;=$D41,X$4&lt;=$E41),1,"")</f>
        <v>1</v>
      </c>
      <c r="Y41" s="41" t="str">
        <f>IF(AND(Y$4&gt;=$D41,Y$4&lt;=$E41),1,"")</f>
        <v/>
      </c>
      <c r="Z41" s="40" t="str">
        <f>IF(AND(Z$4&gt;=$D41,Z$4&lt;=$E41),1,"")</f>
        <v/>
      </c>
      <c r="AA41" s="40" t="str">
        <f>IF(AND(AA$4&gt;=$D41,AA$4&lt;=$E41),1,"")</f>
        <v/>
      </c>
      <c r="AB41" s="40" t="str">
        <f>IF(AND(AB$4&gt;=$D41,AB$4&lt;=$E41),1,"")</f>
        <v/>
      </c>
      <c r="AC41" s="41" t="str">
        <f>IF(AND(AC$4&gt;=$D41,AC$4&lt;=$E41),1,"")</f>
        <v/>
      </c>
      <c r="AD41" s="40" t="str">
        <f>IF(AND(AD$4&gt;=$D41,AD$4&lt;=$E41),1,"")</f>
        <v/>
      </c>
      <c r="AE41" s="40" t="str">
        <f>IF(AND(AE$4&gt;=$D41,AE$4&lt;=$E41),1,"")</f>
        <v/>
      </c>
    </row>
    <row r="42" spans="1:29" x14ac:dyDescent="0.25">
      <c r="A42" s="45" t="s">
        <v>217</v>
      </c>
      <c r="B42" s="45"/>
      <c r="C42" s="45"/>
      <c r="D42" s="45"/>
      <c r="E42" s="45"/>
      <c r="I42" s="39"/>
      <c r="M42" s="39"/>
      <c r="S42" s="39"/>
      <c r="Y42" s="39"/>
      <c r="AC42" s="39"/>
    </row>
    <row r="43" spans="1:31" x14ac:dyDescent="0.25">
      <c r="A43" t="str">
        <f>Features!A39</f>
        <v>E1</v>
      </c>
      <c r="B43" t="str">
        <f>Features!C39</f>
        <v>Cosmos DB + memory schema</v>
      </c>
      <c r="C43" t="str">
        <f>Features!E39</f>
        <v>R2</v>
      </c>
      <c r="D43">
        <f>Features!I39</f>
        <v>8</v>
      </c>
      <c r="E43">
        <f>Features!J39</f>
        <v>10</v>
      </c>
      <c r="F43" s="40" t="str">
        <f>IF(AND(F$4&gt;=$D43,F$4&lt;=$E43),1,"")</f>
        <v/>
      </c>
      <c r="G43" s="40" t="str">
        <f>IF(AND(G$4&gt;=$D43,G$4&lt;=$E43),1,"")</f>
        <v/>
      </c>
      <c r="H43" s="40" t="str">
        <f>IF(AND(H$4&gt;=$D43,H$4&lt;=$E43),1,"")</f>
        <v/>
      </c>
      <c r="I43" s="41" t="str">
        <f>IF(AND(I$4&gt;=$D43,I$4&lt;=$E43),1,"")</f>
        <v/>
      </c>
      <c r="J43" s="40" t="str">
        <f>IF(AND(J$4&gt;=$D43,J$4&lt;=$E43),1,"")</f>
        <v/>
      </c>
      <c r="K43" s="40" t="str">
        <f>IF(AND(K$4&gt;=$D43,K$4&lt;=$E43),1,"")</f>
        <v/>
      </c>
      <c r="L43" s="40" t="str">
        <f>IF(AND(L$4&gt;=$D43,L$4&lt;=$E43),1,"")</f>
        <v/>
      </c>
      <c r="M43" s="41">
        <f>IF(AND(M$4&gt;=$D43,M$4&lt;=$E43),1,"")</f>
        <v>1</v>
      </c>
      <c r="N43" s="40">
        <f>IF(AND(N$4&gt;=$D43,N$4&lt;=$E43),1,"")</f>
        <v>1</v>
      </c>
      <c r="O43" s="40">
        <f>IF(AND(O$4&gt;=$D43,O$4&lt;=$E43),1,"")</f>
        <v>1</v>
      </c>
      <c r="P43" s="40" t="str">
        <f>IF(AND(P$4&gt;=$D43,P$4&lt;=$E43),1,"")</f>
        <v/>
      </c>
      <c r="Q43" s="40" t="str">
        <f>IF(AND(Q$4&gt;=$D43,Q$4&lt;=$E43),1,"")</f>
        <v/>
      </c>
      <c r="R43" s="40" t="str">
        <f>IF(AND(R$4&gt;=$D43,R$4&lt;=$E43),1,"")</f>
        <v/>
      </c>
      <c r="S43" s="41" t="str">
        <f>IF(AND(S$4&gt;=$D43,S$4&lt;=$E43),1,"")</f>
        <v/>
      </c>
      <c r="T43" s="40" t="str">
        <f>IF(AND(T$4&gt;=$D43,T$4&lt;=$E43),1,"")</f>
        <v/>
      </c>
      <c r="U43" s="40" t="str">
        <f>IF(AND(U$4&gt;=$D43,U$4&lt;=$E43),1,"")</f>
        <v/>
      </c>
      <c r="V43" s="40" t="str">
        <f>IF(AND(V$4&gt;=$D43,V$4&lt;=$E43),1,"")</f>
        <v/>
      </c>
      <c r="W43" s="40" t="str">
        <f>IF(AND(W$4&gt;=$D43,W$4&lt;=$E43),1,"")</f>
        <v/>
      </c>
      <c r="X43" s="40" t="str">
        <f>IF(AND(X$4&gt;=$D43,X$4&lt;=$E43),1,"")</f>
        <v/>
      </c>
      <c r="Y43" s="41" t="str">
        <f>IF(AND(Y$4&gt;=$D43,Y$4&lt;=$E43),1,"")</f>
        <v/>
      </c>
      <c r="Z43" s="40" t="str">
        <f>IF(AND(Z$4&gt;=$D43,Z$4&lt;=$E43),1,"")</f>
        <v/>
      </c>
      <c r="AA43" s="40" t="str">
        <f>IF(AND(AA$4&gt;=$D43,AA$4&lt;=$E43),1,"")</f>
        <v/>
      </c>
      <c r="AB43" s="40" t="str">
        <f>IF(AND(AB$4&gt;=$D43,AB$4&lt;=$E43),1,"")</f>
        <v/>
      </c>
      <c r="AC43" s="41" t="str">
        <f>IF(AND(AC$4&gt;=$D43,AC$4&lt;=$E43),1,"")</f>
        <v/>
      </c>
      <c r="AD43" s="40" t="str">
        <f>IF(AND(AD$4&gt;=$D43,AD$4&lt;=$E43),1,"")</f>
        <v/>
      </c>
      <c r="AE43" s="40" t="str">
        <f>IF(AND(AE$4&gt;=$D43,AE$4&lt;=$E43),1,"")</f>
        <v/>
      </c>
    </row>
    <row r="44" spans="1:31" x14ac:dyDescent="0.25">
      <c r="A44" t="str">
        <f>Features!A40</f>
        <v>E2</v>
      </c>
      <c r="B44" t="str">
        <f>Features!C40</f>
        <v>Session &amp; project memory API</v>
      </c>
      <c r="C44" t="str">
        <f>Features!E40</f>
        <v>R2</v>
      </c>
      <c r="D44">
        <f>Features!I40</f>
        <v>10</v>
      </c>
      <c r="E44">
        <f>Features!J40</f>
        <v>13</v>
      </c>
      <c r="F44" s="40" t="str">
        <f>IF(AND(F$4&gt;=$D44,F$4&lt;=$E44),1,"")</f>
        <v/>
      </c>
      <c r="G44" s="40" t="str">
        <f>IF(AND(G$4&gt;=$D44,G$4&lt;=$E44),1,"")</f>
        <v/>
      </c>
      <c r="H44" s="40" t="str">
        <f>IF(AND(H$4&gt;=$D44,H$4&lt;=$E44),1,"")</f>
        <v/>
      </c>
      <c r="I44" s="41" t="str">
        <f>IF(AND(I$4&gt;=$D44,I$4&lt;=$E44),1,"")</f>
        <v/>
      </c>
      <c r="J44" s="40" t="str">
        <f>IF(AND(J$4&gt;=$D44,J$4&lt;=$E44),1,"")</f>
        <v/>
      </c>
      <c r="K44" s="40" t="str">
        <f>IF(AND(K$4&gt;=$D44,K$4&lt;=$E44),1,"")</f>
        <v/>
      </c>
      <c r="L44" s="40" t="str">
        <f>IF(AND(L$4&gt;=$D44,L$4&lt;=$E44),1,"")</f>
        <v/>
      </c>
      <c r="M44" s="41" t="str">
        <f>IF(AND(M$4&gt;=$D44,M$4&lt;=$E44),1,"")</f>
        <v/>
      </c>
      <c r="N44" s="40" t="str">
        <f>IF(AND(N$4&gt;=$D44,N$4&lt;=$E44),1,"")</f>
        <v/>
      </c>
      <c r="O44" s="40">
        <f>IF(AND(O$4&gt;=$D44,O$4&lt;=$E44),1,"")</f>
        <v>1</v>
      </c>
      <c r="P44" s="40">
        <f>IF(AND(P$4&gt;=$D44,P$4&lt;=$E44),1,"")</f>
        <v>1</v>
      </c>
      <c r="Q44" s="40">
        <f>IF(AND(Q$4&gt;=$D44,Q$4&lt;=$E44),1,"")</f>
        <v>1</v>
      </c>
      <c r="R44" s="40">
        <f>IF(AND(R$4&gt;=$D44,R$4&lt;=$E44),1,"")</f>
        <v>1</v>
      </c>
      <c r="S44" s="41" t="str">
        <f>IF(AND(S$4&gt;=$D44,S$4&lt;=$E44),1,"")</f>
        <v/>
      </c>
      <c r="T44" s="40" t="str">
        <f>IF(AND(T$4&gt;=$D44,T$4&lt;=$E44),1,"")</f>
        <v/>
      </c>
      <c r="U44" s="40" t="str">
        <f>IF(AND(U$4&gt;=$D44,U$4&lt;=$E44),1,"")</f>
        <v/>
      </c>
      <c r="V44" s="40" t="str">
        <f>IF(AND(V$4&gt;=$D44,V$4&lt;=$E44),1,"")</f>
        <v/>
      </c>
      <c r="W44" s="40" t="str">
        <f>IF(AND(W$4&gt;=$D44,W$4&lt;=$E44),1,"")</f>
        <v/>
      </c>
      <c r="X44" s="40" t="str">
        <f>IF(AND(X$4&gt;=$D44,X$4&lt;=$E44),1,"")</f>
        <v/>
      </c>
      <c r="Y44" s="41" t="str">
        <f>IF(AND(Y$4&gt;=$D44,Y$4&lt;=$E44),1,"")</f>
        <v/>
      </c>
      <c r="Z44" s="40" t="str">
        <f>IF(AND(Z$4&gt;=$D44,Z$4&lt;=$E44),1,"")</f>
        <v/>
      </c>
      <c r="AA44" s="40" t="str">
        <f>IF(AND(AA$4&gt;=$D44,AA$4&lt;=$E44),1,"")</f>
        <v/>
      </c>
      <c r="AB44" s="40" t="str">
        <f>IF(AND(AB$4&gt;=$D44,AB$4&lt;=$E44),1,"")</f>
        <v/>
      </c>
      <c r="AC44" s="41" t="str">
        <f>IF(AND(AC$4&gt;=$D44,AC$4&lt;=$E44),1,"")</f>
        <v/>
      </c>
      <c r="AD44" s="40" t="str">
        <f>IF(AND(AD$4&gt;=$D44,AD$4&lt;=$E44),1,"")</f>
        <v/>
      </c>
      <c r="AE44" s="40" t="str">
        <f>IF(AND(AE$4&gt;=$D44,AE$4&lt;=$E44),1,"")</f>
        <v/>
      </c>
    </row>
    <row r="45" spans="1:31" x14ac:dyDescent="0.25">
      <c r="A45" t="str">
        <f>Features!A41</f>
        <v>E3</v>
      </c>
      <c r="B45" t="str">
        <f>Features!C41</f>
        <v>Correction Store indexed to AI Search</v>
      </c>
      <c r="C45" t="str">
        <f>Features!E41</f>
        <v>R2</v>
      </c>
      <c r="D45">
        <f>Features!I41</f>
        <v>11</v>
      </c>
      <c r="E45">
        <f>Features!J41</f>
        <v>14</v>
      </c>
      <c r="F45" s="40" t="str">
        <f>IF(AND(F$4&gt;=$D45,F$4&lt;=$E45),1,"")</f>
        <v/>
      </c>
      <c r="G45" s="40" t="str">
        <f>IF(AND(G$4&gt;=$D45,G$4&lt;=$E45),1,"")</f>
        <v/>
      </c>
      <c r="H45" s="40" t="str">
        <f>IF(AND(H$4&gt;=$D45,H$4&lt;=$E45),1,"")</f>
        <v/>
      </c>
      <c r="I45" s="41" t="str">
        <f>IF(AND(I$4&gt;=$D45,I$4&lt;=$E45),1,"")</f>
        <v/>
      </c>
      <c r="J45" s="40" t="str">
        <f>IF(AND(J$4&gt;=$D45,J$4&lt;=$E45),1,"")</f>
        <v/>
      </c>
      <c r="K45" s="40" t="str">
        <f>IF(AND(K$4&gt;=$D45,K$4&lt;=$E45),1,"")</f>
        <v/>
      </c>
      <c r="L45" s="40" t="str">
        <f>IF(AND(L$4&gt;=$D45,L$4&lt;=$E45),1,"")</f>
        <v/>
      </c>
      <c r="M45" s="41" t="str">
        <f>IF(AND(M$4&gt;=$D45,M$4&lt;=$E45),1,"")</f>
        <v/>
      </c>
      <c r="N45" s="40" t="str">
        <f>IF(AND(N$4&gt;=$D45,N$4&lt;=$E45),1,"")</f>
        <v/>
      </c>
      <c r="O45" s="40" t="str">
        <f>IF(AND(O$4&gt;=$D45,O$4&lt;=$E45),1,"")</f>
        <v/>
      </c>
      <c r="P45" s="40">
        <f>IF(AND(P$4&gt;=$D45,P$4&lt;=$E45),1,"")</f>
        <v>1</v>
      </c>
      <c r="Q45" s="40">
        <f>IF(AND(Q$4&gt;=$D45,Q$4&lt;=$E45),1,"")</f>
        <v>1</v>
      </c>
      <c r="R45" s="40">
        <f>IF(AND(R$4&gt;=$D45,R$4&lt;=$E45),1,"")</f>
        <v>1</v>
      </c>
      <c r="S45" s="41">
        <f>IF(AND(S$4&gt;=$D45,S$4&lt;=$E45),1,"")</f>
        <v>1</v>
      </c>
      <c r="T45" s="40" t="str">
        <f>IF(AND(T$4&gt;=$D45,T$4&lt;=$E45),1,"")</f>
        <v/>
      </c>
      <c r="U45" s="40" t="str">
        <f>IF(AND(U$4&gt;=$D45,U$4&lt;=$E45),1,"")</f>
        <v/>
      </c>
      <c r="V45" s="40" t="str">
        <f>IF(AND(V$4&gt;=$D45,V$4&lt;=$E45),1,"")</f>
        <v/>
      </c>
      <c r="W45" s="40" t="str">
        <f>IF(AND(W$4&gt;=$D45,W$4&lt;=$E45),1,"")</f>
        <v/>
      </c>
      <c r="X45" s="40" t="str">
        <f>IF(AND(X$4&gt;=$D45,X$4&lt;=$E45),1,"")</f>
        <v/>
      </c>
      <c r="Y45" s="41" t="str">
        <f>IF(AND(Y$4&gt;=$D45,Y$4&lt;=$E45),1,"")</f>
        <v/>
      </c>
      <c r="Z45" s="40" t="str">
        <f>IF(AND(Z$4&gt;=$D45,Z$4&lt;=$E45),1,"")</f>
        <v/>
      </c>
      <c r="AA45" s="40" t="str">
        <f>IF(AND(AA$4&gt;=$D45,AA$4&lt;=$E45),1,"")</f>
        <v/>
      </c>
      <c r="AB45" s="40" t="str">
        <f>IF(AND(AB$4&gt;=$D45,AB$4&lt;=$E45),1,"")</f>
        <v/>
      </c>
      <c r="AC45" s="41" t="str">
        <f>IF(AND(AC$4&gt;=$D45,AC$4&lt;=$E45),1,"")</f>
        <v/>
      </c>
      <c r="AD45" s="40" t="str">
        <f>IF(AND(AD$4&gt;=$D45,AD$4&lt;=$E45),1,"")</f>
        <v/>
      </c>
      <c r="AE45" s="40" t="str">
        <f>IF(AND(AE$4&gt;=$D45,AE$4&lt;=$E45),1,"")</f>
        <v/>
      </c>
    </row>
    <row r="46" spans="1:31" x14ac:dyDescent="0.25">
      <c r="A46" t="str">
        <f>Features!A42</f>
        <v>E4</v>
      </c>
      <c r="B46" t="str">
        <f>Features!C42</f>
        <v>Approved-pattern library</v>
      </c>
      <c r="C46" t="str">
        <f>Features!E42</f>
        <v>R3</v>
      </c>
      <c r="D46">
        <f>Features!I42</f>
        <v>15</v>
      </c>
      <c r="E46">
        <f>Features!J42</f>
        <v>18</v>
      </c>
      <c r="F46" s="40" t="str">
        <f>IF(AND(F$4&gt;=$D46,F$4&lt;=$E46),1,"")</f>
        <v/>
      </c>
      <c r="G46" s="40" t="str">
        <f>IF(AND(G$4&gt;=$D46,G$4&lt;=$E46),1,"")</f>
        <v/>
      </c>
      <c r="H46" s="40" t="str">
        <f>IF(AND(H$4&gt;=$D46,H$4&lt;=$E46),1,"")</f>
        <v/>
      </c>
      <c r="I46" s="41" t="str">
        <f>IF(AND(I$4&gt;=$D46,I$4&lt;=$E46),1,"")</f>
        <v/>
      </c>
      <c r="J46" s="40" t="str">
        <f>IF(AND(J$4&gt;=$D46,J$4&lt;=$E46),1,"")</f>
        <v/>
      </c>
      <c r="K46" s="40" t="str">
        <f>IF(AND(K$4&gt;=$D46,K$4&lt;=$E46),1,"")</f>
        <v/>
      </c>
      <c r="L46" s="40" t="str">
        <f>IF(AND(L$4&gt;=$D46,L$4&lt;=$E46),1,"")</f>
        <v/>
      </c>
      <c r="M46" s="41" t="str">
        <f>IF(AND(M$4&gt;=$D46,M$4&lt;=$E46),1,"")</f>
        <v/>
      </c>
      <c r="N46" s="40" t="str">
        <f>IF(AND(N$4&gt;=$D46,N$4&lt;=$E46),1,"")</f>
        <v/>
      </c>
      <c r="O46" s="40" t="str">
        <f>IF(AND(O$4&gt;=$D46,O$4&lt;=$E46),1,"")</f>
        <v/>
      </c>
      <c r="P46" s="40" t="str">
        <f>IF(AND(P$4&gt;=$D46,P$4&lt;=$E46),1,"")</f>
        <v/>
      </c>
      <c r="Q46" s="40" t="str">
        <f>IF(AND(Q$4&gt;=$D46,Q$4&lt;=$E46),1,"")</f>
        <v/>
      </c>
      <c r="R46" s="40" t="str">
        <f>IF(AND(R$4&gt;=$D46,R$4&lt;=$E46),1,"")</f>
        <v/>
      </c>
      <c r="S46" s="41" t="str">
        <f>IF(AND(S$4&gt;=$D46,S$4&lt;=$E46),1,"")</f>
        <v/>
      </c>
      <c r="T46" s="40">
        <f>IF(AND(T$4&gt;=$D46,T$4&lt;=$E46),1,"")</f>
        <v>1</v>
      </c>
      <c r="U46" s="40">
        <f>IF(AND(U$4&gt;=$D46,U$4&lt;=$E46),1,"")</f>
        <v>1</v>
      </c>
      <c r="V46" s="40">
        <f>IF(AND(V$4&gt;=$D46,V$4&lt;=$E46),1,"")</f>
        <v>1</v>
      </c>
      <c r="W46" s="40">
        <f>IF(AND(W$4&gt;=$D46,W$4&lt;=$E46),1,"")</f>
        <v>1</v>
      </c>
      <c r="X46" s="40" t="str">
        <f>IF(AND(X$4&gt;=$D46,X$4&lt;=$E46),1,"")</f>
        <v/>
      </c>
      <c r="Y46" s="41" t="str">
        <f>IF(AND(Y$4&gt;=$D46,Y$4&lt;=$E46),1,"")</f>
        <v/>
      </c>
      <c r="Z46" s="40" t="str">
        <f>IF(AND(Z$4&gt;=$D46,Z$4&lt;=$E46),1,"")</f>
        <v/>
      </c>
      <c r="AA46" s="40" t="str">
        <f>IF(AND(AA$4&gt;=$D46,AA$4&lt;=$E46),1,"")</f>
        <v/>
      </c>
      <c r="AB46" s="40" t="str">
        <f>IF(AND(AB$4&gt;=$D46,AB$4&lt;=$E46),1,"")</f>
        <v/>
      </c>
      <c r="AC46" s="41" t="str">
        <f>IF(AND(AC$4&gt;=$D46,AC$4&lt;=$E46),1,"")</f>
        <v/>
      </c>
      <c r="AD46" s="40" t="str">
        <f>IF(AND(AD$4&gt;=$D46,AD$4&lt;=$E46),1,"")</f>
        <v/>
      </c>
      <c r="AE46" s="40" t="str">
        <f>IF(AND(AE$4&gt;=$D46,AE$4&lt;=$E46),1,"")</f>
        <v/>
      </c>
    </row>
    <row r="47" spans="1:31" x14ac:dyDescent="0.25">
      <c r="A47" t="str">
        <f>Features!A43</f>
        <v>E5</v>
      </c>
      <c r="B47" t="str">
        <f>Features!C43</f>
        <v>Memory governance</v>
      </c>
      <c r="C47" t="str">
        <f>Features!E43</f>
        <v>R3</v>
      </c>
      <c r="D47">
        <f>Features!I43</f>
        <v>17</v>
      </c>
      <c r="E47">
        <f>Features!J43</f>
        <v>19</v>
      </c>
      <c r="F47" s="40" t="str">
        <f>IF(AND(F$4&gt;=$D47,F$4&lt;=$E47),1,"")</f>
        <v/>
      </c>
      <c r="G47" s="40" t="str">
        <f>IF(AND(G$4&gt;=$D47,G$4&lt;=$E47),1,"")</f>
        <v/>
      </c>
      <c r="H47" s="40" t="str">
        <f>IF(AND(H$4&gt;=$D47,H$4&lt;=$E47),1,"")</f>
        <v/>
      </c>
      <c r="I47" s="41" t="str">
        <f>IF(AND(I$4&gt;=$D47,I$4&lt;=$E47),1,"")</f>
        <v/>
      </c>
      <c r="J47" s="40" t="str">
        <f>IF(AND(J$4&gt;=$D47,J$4&lt;=$E47),1,"")</f>
        <v/>
      </c>
      <c r="K47" s="40" t="str">
        <f>IF(AND(K$4&gt;=$D47,K$4&lt;=$E47),1,"")</f>
        <v/>
      </c>
      <c r="L47" s="40" t="str">
        <f>IF(AND(L$4&gt;=$D47,L$4&lt;=$E47),1,"")</f>
        <v/>
      </c>
      <c r="M47" s="41" t="str">
        <f>IF(AND(M$4&gt;=$D47,M$4&lt;=$E47),1,"")</f>
        <v/>
      </c>
      <c r="N47" s="40" t="str">
        <f>IF(AND(N$4&gt;=$D47,N$4&lt;=$E47),1,"")</f>
        <v/>
      </c>
      <c r="O47" s="40" t="str">
        <f>IF(AND(O$4&gt;=$D47,O$4&lt;=$E47),1,"")</f>
        <v/>
      </c>
      <c r="P47" s="40" t="str">
        <f>IF(AND(P$4&gt;=$D47,P$4&lt;=$E47),1,"")</f>
        <v/>
      </c>
      <c r="Q47" s="40" t="str">
        <f>IF(AND(Q$4&gt;=$D47,Q$4&lt;=$E47),1,"")</f>
        <v/>
      </c>
      <c r="R47" s="40" t="str">
        <f>IF(AND(R$4&gt;=$D47,R$4&lt;=$E47),1,"")</f>
        <v/>
      </c>
      <c r="S47" s="41" t="str">
        <f>IF(AND(S$4&gt;=$D47,S$4&lt;=$E47),1,"")</f>
        <v/>
      </c>
      <c r="T47" s="40" t="str">
        <f>IF(AND(T$4&gt;=$D47,T$4&lt;=$E47),1,"")</f>
        <v/>
      </c>
      <c r="U47" s="40" t="str">
        <f>IF(AND(U$4&gt;=$D47,U$4&lt;=$E47),1,"")</f>
        <v/>
      </c>
      <c r="V47" s="40">
        <f>IF(AND(V$4&gt;=$D47,V$4&lt;=$E47),1,"")</f>
        <v>1</v>
      </c>
      <c r="W47" s="40">
        <f>IF(AND(W$4&gt;=$D47,W$4&lt;=$E47),1,"")</f>
        <v>1</v>
      </c>
      <c r="X47" s="40">
        <f>IF(AND(X$4&gt;=$D47,X$4&lt;=$E47),1,"")</f>
        <v>1</v>
      </c>
      <c r="Y47" s="41" t="str">
        <f>IF(AND(Y$4&gt;=$D47,Y$4&lt;=$E47),1,"")</f>
        <v/>
      </c>
      <c r="Z47" s="40" t="str">
        <f>IF(AND(Z$4&gt;=$D47,Z$4&lt;=$E47),1,"")</f>
        <v/>
      </c>
      <c r="AA47" s="40" t="str">
        <f>IF(AND(AA$4&gt;=$D47,AA$4&lt;=$E47),1,"")</f>
        <v/>
      </c>
      <c r="AB47" s="40" t="str">
        <f>IF(AND(AB$4&gt;=$D47,AB$4&lt;=$E47),1,"")</f>
        <v/>
      </c>
      <c r="AC47" s="41" t="str">
        <f>IF(AND(AC$4&gt;=$D47,AC$4&lt;=$E47),1,"")</f>
        <v/>
      </c>
      <c r="AD47" s="40" t="str">
        <f>IF(AND(AD$4&gt;=$D47,AD$4&lt;=$E47),1,"")</f>
        <v/>
      </c>
      <c r="AE47" s="40" t="str">
        <f>IF(AND(AE$4&gt;=$D47,AE$4&lt;=$E47),1,"")</f>
        <v/>
      </c>
    </row>
    <row r="48" spans="1:29" x14ac:dyDescent="0.25">
      <c r="A48" s="46" t="s">
        <v>233</v>
      </c>
      <c r="B48" s="46"/>
      <c r="C48" s="46"/>
      <c r="D48" s="46"/>
      <c r="E48" s="46"/>
      <c r="I48" s="39"/>
      <c r="M48" s="39"/>
      <c r="S48" s="39"/>
      <c r="Y48" s="39"/>
      <c r="AC48" s="39"/>
    </row>
    <row r="49" spans="1:31" x14ac:dyDescent="0.25">
      <c r="A49" t="str">
        <f>Features!A44</f>
        <v>F1</v>
      </c>
      <c r="B49" t="str">
        <f>Features!C44</f>
        <v>Editor endpoint config + Entra sign-in</v>
      </c>
      <c r="C49" t="str">
        <f>Features!E44</f>
        <v>MVP</v>
      </c>
      <c r="D49">
        <f>Features!I44</f>
        <v>5</v>
      </c>
      <c r="E49">
        <f>Features!J44</f>
        <v>8</v>
      </c>
      <c r="F49" s="40" t="str">
        <f>IF(AND(F$4&gt;=$D49,F$4&lt;=$E49),1,"")</f>
        <v/>
      </c>
      <c r="G49" s="40" t="str">
        <f>IF(AND(G$4&gt;=$D49,G$4&lt;=$E49),1,"")</f>
        <v/>
      </c>
      <c r="H49" s="40" t="str">
        <f>IF(AND(H$4&gt;=$D49,H$4&lt;=$E49),1,"")</f>
        <v/>
      </c>
      <c r="I49" s="41" t="str">
        <f>IF(AND(I$4&gt;=$D49,I$4&lt;=$E49),1,"")</f>
        <v/>
      </c>
      <c r="J49" s="40">
        <f>IF(AND(J$4&gt;=$D49,J$4&lt;=$E49),1,"")</f>
        <v>1</v>
      </c>
      <c r="K49" s="40">
        <f>IF(AND(K$4&gt;=$D49,K$4&lt;=$E49),1,"")</f>
        <v>1</v>
      </c>
      <c r="L49" s="40">
        <f>IF(AND(L$4&gt;=$D49,L$4&lt;=$E49),1,"")</f>
        <v>1</v>
      </c>
      <c r="M49" s="41">
        <f>IF(AND(M$4&gt;=$D49,M$4&lt;=$E49),1,"")</f>
        <v>1</v>
      </c>
      <c r="N49" s="40" t="str">
        <f>IF(AND(N$4&gt;=$D49,N$4&lt;=$E49),1,"")</f>
        <v/>
      </c>
      <c r="O49" s="40" t="str">
        <f>IF(AND(O$4&gt;=$D49,O$4&lt;=$E49),1,"")</f>
        <v/>
      </c>
      <c r="P49" s="40" t="str">
        <f>IF(AND(P$4&gt;=$D49,P$4&lt;=$E49),1,"")</f>
        <v/>
      </c>
      <c r="Q49" s="40" t="str">
        <f>IF(AND(Q$4&gt;=$D49,Q$4&lt;=$E49),1,"")</f>
        <v/>
      </c>
      <c r="R49" s="40" t="str">
        <f>IF(AND(R$4&gt;=$D49,R$4&lt;=$E49),1,"")</f>
        <v/>
      </c>
      <c r="S49" s="41" t="str">
        <f>IF(AND(S$4&gt;=$D49,S$4&lt;=$E49),1,"")</f>
        <v/>
      </c>
      <c r="T49" s="40" t="str">
        <f>IF(AND(T$4&gt;=$D49,T$4&lt;=$E49),1,"")</f>
        <v/>
      </c>
      <c r="U49" s="40" t="str">
        <f>IF(AND(U$4&gt;=$D49,U$4&lt;=$E49),1,"")</f>
        <v/>
      </c>
      <c r="V49" s="40" t="str">
        <f>IF(AND(V$4&gt;=$D49,V$4&lt;=$E49),1,"")</f>
        <v/>
      </c>
      <c r="W49" s="40" t="str">
        <f>IF(AND(W$4&gt;=$D49,W$4&lt;=$E49),1,"")</f>
        <v/>
      </c>
      <c r="X49" s="40" t="str">
        <f>IF(AND(X$4&gt;=$D49,X$4&lt;=$E49),1,"")</f>
        <v/>
      </c>
      <c r="Y49" s="41" t="str">
        <f>IF(AND(Y$4&gt;=$D49,Y$4&lt;=$E49),1,"")</f>
        <v/>
      </c>
      <c r="Z49" s="40" t="str">
        <f>IF(AND(Z$4&gt;=$D49,Z$4&lt;=$E49),1,"")</f>
        <v/>
      </c>
      <c r="AA49" s="40" t="str">
        <f>IF(AND(AA$4&gt;=$D49,AA$4&lt;=$E49),1,"")</f>
        <v/>
      </c>
      <c r="AB49" s="40" t="str">
        <f>IF(AND(AB$4&gt;=$D49,AB$4&lt;=$E49),1,"")</f>
        <v/>
      </c>
      <c r="AC49" s="41" t="str">
        <f>IF(AND(AC$4&gt;=$D49,AC$4&lt;=$E49),1,"")</f>
        <v/>
      </c>
      <c r="AD49" s="40" t="str">
        <f>IF(AND(AD$4&gt;=$D49,AD$4&lt;=$E49),1,"")</f>
        <v/>
      </c>
      <c r="AE49" s="40" t="str">
        <f>IF(AND(AE$4&gt;=$D49,AE$4&lt;=$E49),1,"")</f>
        <v/>
      </c>
    </row>
    <row r="50" spans="1:31" x14ac:dyDescent="0.25">
      <c r="A50" t="str">
        <f>Features!A46</f>
        <v>F3</v>
      </c>
      <c r="B50" t="str">
        <f>Features!C46</f>
        <v>Pipeline UX for Azure status/errors</v>
      </c>
      <c r="C50" t="str">
        <f>Features!E46</f>
        <v>MVP</v>
      </c>
      <c r="D50">
        <f>Features!I46</f>
        <v>7</v>
      </c>
      <c r="E50">
        <f>Features!J46</f>
        <v>8</v>
      </c>
      <c r="F50" s="40" t="str">
        <f>IF(AND(F$4&gt;=$D50,F$4&lt;=$E50),1,"")</f>
        <v/>
      </c>
      <c r="G50" s="40" t="str">
        <f>IF(AND(G$4&gt;=$D50,G$4&lt;=$E50),1,"")</f>
        <v/>
      </c>
      <c r="H50" s="40" t="str">
        <f>IF(AND(H$4&gt;=$D50,H$4&lt;=$E50),1,"")</f>
        <v/>
      </c>
      <c r="I50" s="41" t="str">
        <f>IF(AND(I$4&gt;=$D50,I$4&lt;=$E50),1,"")</f>
        <v/>
      </c>
      <c r="J50" s="40" t="str">
        <f>IF(AND(J$4&gt;=$D50,J$4&lt;=$E50),1,"")</f>
        <v/>
      </c>
      <c r="K50" s="40" t="str">
        <f>IF(AND(K$4&gt;=$D50,K$4&lt;=$E50),1,"")</f>
        <v/>
      </c>
      <c r="L50" s="40">
        <f>IF(AND(L$4&gt;=$D50,L$4&lt;=$E50),1,"")</f>
        <v>1</v>
      </c>
      <c r="M50" s="41">
        <f>IF(AND(M$4&gt;=$D50,M$4&lt;=$E50),1,"")</f>
        <v>1</v>
      </c>
      <c r="N50" s="40" t="str">
        <f>IF(AND(N$4&gt;=$D50,N$4&lt;=$E50),1,"")</f>
        <v/>
      </c>
      <c r="O50" s="40" t="str">
        <f>IF(AND(O$4&gt;=$D50,O$4&lt;=$E50),1,"")</f>
        <v/>
      </c>
      <c r="P50" s="40" t="str">
        <f>IF(AND(P$4&gt;=$D50,P$4&lt;=$E50),1,"")</f>
        <v/>
      </c>
      <c r="Q50" s="40" t="str">
        <f>IF(AND(Q$4&gt;=$D50,Q$4&lt;=$E50),1,"")</f>
        <v/>
      </c>
      <c r="R50" s="40" t="str">
        <f>IF(AND(R$4&gt;=$D50,R$4&lt;=$E50),1,"")</f>
        <v/>
      </c>
      <c r="S50" s="41" t="str">
        <f>IF(AND(S$4&gt;=$D50,S$4&lt;=$E50),1,"")</f>
        <v/>
      </c>
      <c r="T50" s="40" t="str">
        <f>IF(AND(T$4&gt;=$D50,T$4&lt;=$E50),1,"")</f>
        <v/>
      </c>
      <c r="U50" s="40" t="str">
        <f>IF(AND(U$4&gt;=$D50,U$4&lt;=$E50),1,"")</f>
        <v/>
      </c>
      <c r="V50" s="40" t="str">
        <f>IF(AND(V$4&gt;=$D50,V$4&lt;=$E50),1,"")</f>
        <v/>
      </c>
      <c r="W50" s="40" t="str">
        <f>IF(AND(W$4&gt;=$D50,W$4&lt;=$E50),1,"")</f>
        <v/>
      </c>
      <c r="X50" s="40" t="str">
        <f>IF(AND(X$4&gt;=$D50,X$4&lt;=$E50),1,"")</f>
        <v/>
      </c>
      <c r="Y50" s="41" t="str">
        <f>IF(AND(Y$4&gt;=$D50,Y$4&lt;=$E50),1,"")</f>
        <v/>
      </c>
      <c r="Z50" s="40" t="str">
        <f>IF(AND(Z$4&gt;=$D50,Z$4&lt;=$E50),1,"")</f>
        <v/>
      </c>
      <c r="AA50" s="40" t="str">
        <f>IF(AND(AA$4&gt;=$D50,AA$4&lt;=$E50),1,"")</f>
        <v/>
      </c>
      <c r="AB50" s="40" t="str">
        <f>IF(AND(AB$4&gt;=$D50,AB$4&lt;=$E50),1,"")</f>
        <v/>
      </c>
      <c r="AC50" s="41" t="str">
        <f>IF(AND(AC$4&gt;=$D50,AC$4&lt;=$E50),1,"")</f>
        <v/>
      </c>
      <c r="AD50" s="40" t="str">
        <f>IF(AND(AD$4&gt;=$D50,AD$4&lt;=$E50),1,"")</f>
        <v/>
      </c>
      <c r="AE50" s="40" t="str">
        <f>IF(AND(AE$4&gt;=$D50,AE$4&lt;=$E50),1,"")</f>
        <v/>
      </c>
    </row>
    <row r="51" spans="1:31" x14ac:dyDescent="0.25">
      <c r="A51" t="str">
        <f>Features!A47</f>
        <v>F4</v>
      </c>
      <c r="B51" t="str">
        <f>Features!C47</f>
        <v>Installer + update channel</v>
      </c>
      <c r="C51" t="str">
        <f>Features!E47</f>
        <v>R2</v>
      </c>
      <c r="D51">
        <f>Features!I47</f>
        <v>11</v>
      </c>
      <c r="E51">
        <f>Features!J47</f>
        <v>14</v>
      </c>
      <c r="F51" s="40" t="str">
        <f>IF(AND(F$4&gt;=$D51,F$4&lt;=$E51),1,"")</f>
        <v/>
      </c>
      <c r="G51" s="40" t="str">
        <f>IF(AND(G$4&gt;=$D51,G$4&lt;=$E51),1,"")</f>
        <v/>
      </c>
      <c r="H51" s="40" t="str">
        <f>IF(AND(H$4&gt;=$D51,H$4&lt;=$E51),1,"")</f>
        <v/>
      </c>
      <c r="I51" s="41" t="str">
        <f>IF(AND(I$4&gt;=$D51,I$4&lt;=$E51),1,"")</f>
        <v/>
      </c>
      <c r="J51" s="40" t="str">
        <f>IF(AND(J$4&gt;=$D51,J$4&lt;=$E51),1,"")</f>
        <v/>
      </c>
      <c r="K51" s="40" t="str">
        <f>IF(AND(K$4&gt;=$D51,K$4&lt;=$E51),1,"")</f>
        <v/>
      </c>
      <c r="L51" s="40" t="str">
        <f>IF(AND(L$4&gt;=$D51,L$4&lt;=$E51),1,"")</f>
        <v/>
      </c>
      <c r="M51" s="41" t="str">
        <f>IF(AND(M$4&gt;=$D51,M$4&lt;=$E51),1,"")</f>
        <v/>
      </c>
      <c r="N51" s="40" t="str">
        <f>IF(AND(N$4&gt;=$D51,N$4&lt;=$E51),1,"")</f>
        <v/>
      </c>
      <c r="O51" s="40" t="str">
        <f>IF(AND(O$4&gt;=$D51,O$4&lt;=$E51),1,"")</f>
        <v/>
      </c>
      <c r="P51" s="40">
        <f>IF(AND(P$4&gt;=$D51,P$4&lt;=$E51),1,"")</f>
        <v>1</v>
      </c>
      <c r="Q51" s="40">
        <f>IF(AND(Q$4&gt;=$D51,Q$4&lt;=$E51),1,"")</f>
        <v>1</v>
      </c>
      <c r="R51" s="40">
        <f>IF(AND(R$4&gt;=$D51,R$4&lt;=$E51),1,"")</f>
        <v>1</v>
      </c>
      <c r="S51" s="41">
        <f>IF(AND(S$4&gt;=$D51,S$4&lt;=$E51),1,"")</f>
        <v>1</v>
      </c>
      <c r="T51" s="40" t="str">
        <f>IF(AND(T$4&gt;=$D51,T$4&lt;=$E51),1,"")</f>
        <v/>
      </c>
      <c r="U51" s="40" t="str">
        <f>IF(AND(U$4&gt;=$D51,U$4&lt;=$E51),1,"")</f>
        <v/>
      </c>
      <c r="V51" s="40" t="str">
        <f>IF(AND(V$4&gt;=$D51,V$4&lt;=$E51),1,"")</f>
        <v/>
      </c>
      <c r="W51" s="40" t="str">
        <f>IF(AND(W$4&gt;=$D51,W$4&lt;=$E51),1,"")</f>
        <v/>
      </c>
      <c r="X51" s="40" t="str">
        <f>IF(AND(X$4&gt;=$D51,X$4&lt;=$E51),1,"")</f>
        <v/>
      </c>
      <c r="Y51" s="41" t="str">
        <f>IF(AND(Y$4&gt;=$D51,Y$4&lt;=$E51),1,"")</f>
        <v/>
      </c>
      <c r="Z51" s="40" t="str">
        <f>IF(AND(Z$4&gt;=$D51,Z$4&lt;=$E51),1,"")</f>
        <v/>
      </c>
      <c r="AA51" s="40" t="str">
        <f>IF(AND(AA$4&gt;=$D51,AA$4&lt;=$E51),1,"")</f>
        <v/>
      </c>
      <c r="AB51" s="40" t="str">
        <f>IF(AND(AB$4&gt;=$D51,AB$4&lt;=$E51),1,"")</f>
        <v/>
      </c>
      <c r="AC51" s="41" t="str">
        <f>IF(AND(AC$4&gt;=$D51,AC$4&lt;=$E51),1,"")</f>
        <v/>
      </c>
      <c r="AD51" s="40" t="str">
        <f>IF(AND(AD$4&gt;=$D51,AD$4&lt;=$E51),1,"")</f>
        <v/>
      </c>
      <c r="AE51" s="40" t="str">
        <f>IF(AND(AE$4&gt;=$D51,AE$4&lt;=$E51),1,"")</f>
        <v/>
      </c>
    </row>
    <row r="52" spans="1:31" x14ac:dyDescent="0.25">
      <c r="A52" t="str">
        <f>Features!A48</f>
        <v>F5</v>
      </c>
      <c r="B52" t="str">
        <f>Features!C48</f>
        <v>Telemetry (opt-in) + usage dashboard</v>
      </c>
      <c r="C52" t="str">
        <f>Features!E48</f>
        <v>R3</v>
      </c>
      <c r="D52">
        <f>Features!I48</f>
        <v>16</v>
      </c>
      <c r="E52">
        <f>Features!J48</f>
        <v>18</v>
      </c>
      <c r="F52" s="40" t="str">
        <f>IF(AND(F$4&gt;=$D52,F$4&lt;=$E52),1,"")</f>
        <v/>
      </c>
      <c r="G52" s="40" t="str">
        <f>IF(AND(G$4&gt;=$D52,G$4&lt;=$E52),1,"")</f>
        <v/>
      </c>
      <c r="H52" s="40" t="str">
        <f>IF(AND(H$4&gt;=$D52,H$4&lt;=$E52),1,"")</f>
        <v/>
      </c>
      <c r="I52" s="41" t="str">
        <f>IF(AND(I$4&gt;=$D52,I$4&lt;=$E52),1,"")</f>
        <v/>
      </c>
      <c r="J52" s="40" t="str">
        <f>IF(AND(J$4&gt;=$D52,J$4&lt;=$E52),1,"")</f>
        <v/>
      </c>
      <c r="K52" s="40" t="str">
        <f>IF(AND(K$4&gt;=$D52,K$4&lt;=$E52),1,"")</f>
        <v/>
      </c>
      <c r="L52" s="40" t="str">
        <f>IF(AND(L$4&gt;=$D52,L$4&lt;=$E52),1,"")</f>
        <v/>
      </c>
      <c r="M52" s="41" t="str">
        <f>IF(AND(M$4&gt;=$D52,M$4&lt;=$E52),1,"")</f>
        <v/>
      </c>
      <c r="N52" s="40" t="str">
        <f>IF(AND(N$4&gt;=$D52,N$4&lt;=$E52),1,"")</f>
        <v/>
      </c>
      <c r="O52" s="40" t="str">
        <f>IF(AND(O$4&gt;=$D52,O$4&lt;=$E52),1,"")</f>
        <v/>
      </c>
      <c r="P52" s="40" t="str">
        <f>IF(AND(P$4&gt;=$D52,P$4&lt;=$E52),1,"")</f>
        <v/>
      </c>
      <c r="Q52" s="40" t="str">
        <f>IF(AND(Q$4&gt;=$D52,Q$4&lt;=$E52),1,"")</f>
        <v/>
      </c>
      <c r="R52" s="40" t="str">
        <f>IF(AND(R$4&gt;=$D52,R$4&lt;=$E52),1,"")</f>
        <v/>
      </c>
      <c r="S52" s="41" t="str">
        <f>IF(AND(S$4&gt;=$D52,S$4&lt;=$E52),1,"")</f>
        <v/>
      </c>
      <c r="T52" s="40" t="str">
        <f>IF(AND(T$4&gt;=$D52,T$4&lt;=$E52),1,"")</f>
        <v/>
      </c>
      <c r="U52" s="40">
        <f>IF(AND(U$4&gt;=$D52,U$4&lt;=$E52),1,"")</f>
        <v>1</v>
      </c>
      <c r="V52" s="40">
        <f>IF(AND(V$4&gt;=$D52,V$4&lt;=$E52),1,"")</f>
        <v>1</v>
      </c>
      <c r="W52" s="40">
        <f>IF(AND(W$4&gt;=$D52,W$4&lt;=$E52),1,"")</f>
        <v>1</v>
      </c>
      <c r="X52" s="40" t="str">
        <f>IF(AND(X$4&gt;=$D52,X$4&lt;=$E52),1,"")</f>
        <v/>
      </c>
      <c r="Y52" s="41" t="str">
        <f>IF(AND(Y$4&gt;=$D52,Y$4&lt;=$E52),1,"")</f>
        <v/>
      </c>
      <c r="Z52" s="40" t="str">
        <f>IF(AND(Z$4&gt;=$D52,Z$4&lt;=$E52),1,"")</f>
        <v/>
      </c>
      <c r="AA52" s="40" t="str">
        <f>IF(AND(AA$4&gt;=$D52,AA$4&lt;=$E52),1,"")</f>
        <v/>
      </c>
      <c r="AB52" s="40" t="str">
        <f>IF(AND(AB$4&gt;=$D52,AB$4&lt;=$E52),1,"")</f>
        <v/>
      </c>
      <c r="AC52" s="41" t="str">
        <f>IF(AND(AC$4&gt;=$D52,AC$4&lt;=$E52),1,"")</f>
        <v/>
      </c>
      <c r="AD52" s="40" t="str">
        <f>IF(AND(AD$4&gt;=$D52,AD$4&lt;=$E52),1,"")</f>
        <v/>
      </c>
      <c r="AE52" s="40" t="str">
        <f>IF(AND(AE$4&gt;=$D52,AE$4&lt;=$E52),1,"")</f>
        <v/>
      </c>
    </row>
    <row r="53" spans="1:29" x14ac:dyDescent="0.25">
      <c r="A53" s="47" t="s">
        <v>249</v>
      </c>
      <c r="B53" s="47"/>
      <c r="C53" s="47"/>
      <c r="D53" s="47"/>
      <c r="E53" s="47"/>
      <c r="I53" s="39"/>
      <c r="M53" s="39"/>
      <c r="S53" s="39"/>
      <c r="Y53" s="39"/>
      <c r="AC53" s="39"/>
    </row>
    <row r="54" spans="1:31" x14ac:dyDescent="0.25">
      <c r="A54" t="str">
        <f>Features!A49</f>
        <v>G1</v>
      </c>
      <c r="B54" t="str">
        <f>Features!C49</f>
        <v>Continuum service-token API + OpenAPI spec</v>
      </c>
      <c r="C54" t="str">
        <f>Features!E49</f>
        <v>MVP</v>
      </c>
      <c r="D54">
        <f>Features!I49</f>
        <v>3</v>
      </c>
      <c r="E54">
        <f>Features!J49</f>
        <v>6</v>
      </c>
      <c r="F54" s="40" t="str">
        <f>IF(AND(F$4&gt;=$D54,F$4&lt;=$E54),1,"")</f>
        <v/>
      </c>
      <c r="G54" s="40" t="str">
        <f>IF(AND(G$4&gt;=$D54,G$4&lt;=$E54),1,"")</f>
        <v/>
      </c>
      <c r="H54" s="40">
        <f>IF(AND(H$4&gt;=$D54,H$4&lt;=$E54),1,"")</f>
        <v>1</v>
      </c>
      <c r="I54" s="41">
        <f>IF(AND(I$4&gt;=$D54,I$4&lt;=$E54),1,"")</f>
        <v>1</v>
      </c>
      <c r="J54" s="40">
        <f>IF(AND(J$4&gt;=$D54,J$4&lt;=$E54),1,"")</f>
        <v>1</v>
      </c>
      <c r="K54" s="40">
        <f>IF(AND(K$4&gt;=$D54,K$4&lt;=$E54),1,"")</f>
        <v>1</v>
      </c>
      <c r="L54" s="40" t="str">
        <f>IF(AND(L$4&gt;=$D54,L$4&lt;=$E54),1,"")</f>
        <v/>
      </c>
      <c r="M54" s="41" t="str">
        <f>IF(AND(M$4&gt;=$D54,M$4&lt;=$E54),1,"")</f>
        <v/>
      </c>
      <c r="N54" s="40" t="str">
        <f>IF(AND(N$4&gt;=$D54,N$4&lt;=$E54),1,"")</f>
        <v/>
      </c>
      <c r="O54" s="40" t="str">
        <f>IF(AND(O$4&gt;=$D54,O$4&lt;=$E54),1,"")</f>
        <v/>
      </c>
      <c r="P54" s="40" t="str">
        <f>IF(AND(P$4&gt;=$D54,P$4&lt;=$E54),1,"")</f>
        <v/>
      </c>
      <c r="Q54" s="40" t="str">
        <f>IF(AND(Q$4&gt;=$D54,Q$4&lt;=$E54),1,"")</f>
        <v/>
      </c>
      <c r="R54" s="40" t="str">
        <f>IF(AND(R$4&gt;=$D54,R$4&lt;=$E54),1,"")</f>
        <v/>
      </c>
      <c r="S54" s="41" t="str">
        <f>IF(AND(S$4&gt;=$D54,S$4&lt;=$E54),1,"")</f>
        <v/>
      </c>
      <c r="T54" s="40" t="str">
        <f>IF(AND(T$4&gt;=$D54,T$4&lt;=$E54),1,"")</f>
        <v/>
      </c>
      <c r="U54" s="40" t="str">
        <f>IF(AND(U$4&gt;=$D54,U$4&lt;=$E54),1,"")</f>
        <v/>
      </c>
      <c r="V54" s="40" t="str">
        <f>IF(AND(V$4&gt;=$D54,V$4&lt;=$E54),1,"")</f>
        <v/>
      </c>
      <c r="W54" s="40" t="str">
        <f>IF(AND(W$4&gt;=$D54,W$4&lt;=$E54),1,"")</f>
        <v/>
      </c>
      <c r="X54" s="40" t="str">
        <f>IF(AND(X$4&gt;=$D54,X$4&lt;=$E54),1,"")</f>
        <v/>
      </c>
      <c r="Y54" s="41" t="str">
        <f>IF(AND(Y$4&gt;=$D54,Y$4&lt;=$E54),1,"")</f>
        <v/>
      </c>
      <c r="Z54" s="40" t="str">
        <f>IF(AND(Z$4&gt;=$D54,Z$4&lt;=$E54),1,"")</f>
        <v/>
      </c>
      <c r="AA54" s="40" t="str">
        <f>IF(AND(AA$4&gt;=$D54,AA$4&lt;=$E54),1,"")</f>
        <v/>
      </c>
      <c r="AB54" s="40" t="str">
        <f>IF(AND(AB$4&gt;=$D54,AB$4&lt;=$E54),1,"")</f>
        <v/>
      </c>
      <c r="AC54" s="41" t="str">
        <f>IF(AND(AC$4&gt;=$D54,AC$4&lt;=$E54),1,"")</f>
        <v/>
      </c>
      <c r="AD54" s="40" t="str">
        <f>IF(AND(AD$4&gt;=$D54,AD$4&lt;=$E54),1,"")</f>
        <v/>
      </c>
      <c r="AE54" s="40" t="str">
        <f>IF(AND(AE$4&gt;=$D54,AE$4&lt;=$E54),1,"")</f>
        <v/>
      </c>
    </row>
    <row r="55" spans="1:31" x14ac:dyDescent="0.25">
      <c r="A55" t="str">
        <f>Features!A50</f>
        <v>G2</v>
      </c>
      <c r="B55" t="str">
        <f>Features!C50</f>
        <v>DarkHorse ContinuumClient (pull specs)</v>
      </c>
      <c r="C55" t="str">
        <f>Features!E50</f>
        <v>MVP</v>
      </c>
      <c r="D55">
        <f>Features!I50</f>
        <v>5</v>
      </c>
      <c r="E55">
        <f>Features!J50</f>
        <v>8</v>
      </c>
      <c r="F55" s="40" t="str">
        <f>IF(AND(F$4&gt;=$D55,F$4&lt;=$E55),1,"")</f>
        <v/>
      </c>
      <c r="G55" s="40" t="str">
        <f>IF(AND(G$4&gt;=$D55,G$4&lt;=$E55),1,"")</f>
        <v/>
      </c>
      <c r="H55" s="40" t="str">
        <f>IF(AND(H$4&gt;=$D55,H$4&lt;=$E55),1,"")</f>
        <v/>
      </c>
      <c r="I55" s="41" t="str">
        <f>IF(AND(I$4&gt;=$D55,I$4&lt;=$E55),1,"")</f>
        <v/>
      </c>
      <c r="J55" s="40">
        <f>IF(AND(J$4&gt;=$D55,J$4&lt;=$E55),1,"")</f>
        <v>1</v>
      </c>
      <c r="K55" s="40">
        <f>IF(AND(K$4&gt;=$D55,K$4&lt;=$E55),1,"")</f>
        <v>1</v>
      </c>
      <c r="L55" s="40">
        <f>IF(AND(L$4&gt;=$D55,L$4&lt;=$E55),1,"")</f>
        <v>1</v>
      </c>
      <c r="M55" s="41">
        <f>IF(AND(M$4&gt;=$D55,M$4&lt;=$E55),1,"")</f>
        <v>1</v>
      </c>
      <c r="N55" s="40" t="str">
        <f>IF(AND(N$4&gt;=$D55,N$4&lt;=$E55),1,"")</f>
        <v/>
      </c>
      <c r="O55" s="40" t="str">
        <f>IF(AND(O$4&gt;=$D55,O$4&lt;=$E55),1,"")</f>
        <v/>
      </c>
      <c r="P55" s="40" t="str">
        <f>IF(AND(P$4&gt;=$D55,P$4&lt;=$E55),1,"")</f>
        <v/>
      </c>
      <c r="Q55" s="40" t="str">
        <f>IF(AND(Q$4&gt;=$D55,Q$4&lt;=$E55),1,"")</f>
        <v/>
      </c>
      <c r="R55" s="40" t="str">
        <f>IF(AND(R$4&gt;=$D55,R$4&lt;=$E55),1,"")</f>
        <v/>
      </c>
      <c r="S55" s="41" t="str">
        <f>IF(AND(S$4&gt;=$D55,S$4&lt;=$E55),1,"")</f>
        <v/>
      </c>
      <c r="T55" s="40" t="str">
        <f>IF(AND(T$4&gt;=$D55,T$4&lt;=$E55),1,"")</f>
        <v/>
      </c>
      <c r="U55" s="40" t="str">
        <f>IF(AND(U$4&gt;=$D55,U$4&lt;=$E55),1,"")</f>
        <v/>
      </c>
      <c r="V55" s="40" t="str">
        <f>IF(AND(V$4&gt;=$D55,V$4&lt;=$E55),1,"")</f>
        <v/>
      </c>
      <c r="W55" s="40" t="str">
        <f>IF(AND(W$4&gt;=$D55,W$4&lt;=$E55),1,"")</f>
        <v/>
      </c>
      <c r="X55" s="40" t="str">
        <f>IF(AND(X$4&gt;=$D55,X$4&lt;=$E55),1,"")</f>
        <v/>
      </c>
      <c r="Y55" s="41" t="str">
        <f>IF(AND(Y$4&gt;=$D55,Y$4&lt;=$E55),1,"")</f>
        <v/>
      </c>
      <c r="Z55" s="40" t="str">
        <f>IF(AND(Z$4&gt;=$D55,Z$4&lt;=$E55),1,"")</f>
        <v/>
      </c>
      <c r="AA55" s="40" t="str">
        <f>IF(AND(AA$4&gt;=$D55,AA$4&lt;=$E55),1,"")</f>
        <v/>
      </c>
      <c r="AB55" s="40" t="str">
        <f>IF(AND(AB$4&gt;=$D55,AB$4&lt;=$E55),1,"")</f>
        <v/>
      </c>
      <c r="AC55" s="41" t="str">
        <f>IF(AND(AC$4&gt;=$D55,AC$4&lt;=$E55),1,"")</f>
        <v/>
      </c>
      <c r="AD55" s="40" t="str">
        <f>IF(AND(AD$4&gt;=$D55,AD$4&lt;=$E55),1,"")</f>
        <v/>
      </c>
      <c r="AE55" s="40" t="str">
        <f>IF(AND(AE$4&gt;=$D55,AE$4&lt;=$E55),1,"")</f>
        <v/>
      </c>
    </row>
    <row r="56" spans="1:31" x14ac:dyDescent="0.25">
      <c r="A56" t="str">
        <f>Features!A51</f>
        <v>G3</v>
      </c>
      <c r="B56" t="str">
        <f>Features!C51</f>
        <v>Push-back from DarkHorse</v>
      </c>
      <c r="C56" t="str">
        <f>Features!E51</f>
        <v>R2</v>
      </c>
      <c r="D56">
        <f>Features!I51</f>
        <v>9</v>
      </c>
      <c r="E56">
        <f>Features!J51</f>
        <v>12</v>
      </c>
      <c r="F56" s="40" t="str">
        <f>IF(AND(F$4&gt;=$D56,F$4&lt;=$E56),1,"")</f>
        <v/>
      </c>
      <c r="G56" s="40" t="str">
        <f>IF(AND(G$4&gt;=$D56,G$4&lt;=$E56),1,"")</f>
        <v/>
      </c>
      <c r="H56" s="40" t="str">
        <f>IF(AND(H$4&gt;=$D56,H$4&lt;=$E56),1,"")</f>
        <v/>
      </c>
      <c r="I56" s="41" t="str">
        <f>IF(AND(I$4&gt;=$D56,I$4&lt;=$E56),1,"")</f>
        <v/>
      </c>
      <c r="J56" s="40" t="str">
        <f>IF(AND(J$4&gt;=$D56,J$4&lt;=$E56),1,"")</f>
        <v/>
      </c>
      <c r="K56" s="40" t="str">
        <f>IF(AND(K$4&gt;=$D56,K$4&lt;=$E56),1,"")</f>
        <v/>
      </c>
      <c r="L56" s="40" t="str">
        <f>IF(AND(L$4&gt;=$D56,L$4&lt;=$E56),1,"")</f>
        <v/>
      </c>
      <c r="M56" s="41" t="str">
        <f>IF(AND(M$4&gt;=$D56,M$4&lt;=$E56),1,"")</f>
        <v/>
      </c>
      <c r="N56" s="40">
        <f>IF(AND(N$4&gt;=$D56,N$4&lt;=$E56),1,"")</f>
        <v>1</v>
      </c>
      <c r="O56" s="40">
        <f>IF(AND(O$4&gt;=$D56,O$4&lt;=$E56),1,"")</f>
        <v>1</v>
      </c>
      <c r="P56" s="40">
        <f>IF(AND(P$4&gt;=$D56,P$4&lt;=$E56),1,"")</f>
        <v>1</v>
      </c>
      <c r="Q56" s="40">
        <f>IF(AND(Q$4&gt;=$D56,Q$4&lt;=$E56),1,"")</f>
        <v>1</v>
      </c>
      <c r="R56" s="40" t="str">
        <f>IF(AND(R$4&gt;=$D56,R$4&lt;=$E56),1,"")</f>
        <v/>
      </c>
      <c r="S56" s="41" t="str">
        <f>IF(AND(S$4&gt;=$D56,S$4&lt;=$E56),1,"")</f>
        <v/>
      </c>
      <c r="T56" s="40" t="str">
        <f>IF(AND(T$4&gt;=$D56,T$4&lt;=$E56),1,"")</f>
        <v/>
      </c>
      <c r="U56" s="40" t="str">
        <f>IF(AND(U$4&gt;=$D56,U$4&lt;=$E56),1,"")</f>
        <v/>
      </c>
      <c r="V56" s="40" t="str">
        <f>IF(AND(V$4&gt;=$D56,V$4&lt;=$E56),1,"")</f>
        <v/>
      </c>
      <c r="W56" s="40" t="str">
        <f>IF(AND(W$4&gt;=$D56,W$4&lt;=$E56),1,"")</f>
        <v/>
      </c>
      <c r="X56" s="40" t="str">
        <f>IF(AND(X$4&gt;=$D56,X$4&lt;=$E56),1,"")</f>
        <v/>
      </c>
      <c r="Y56" s="41" t="str">
        <f>IF(AND(Y$4&gt;=$D56,Y$4&lt;=$E56),1,"")</f>
        <v/>
      </c>
      <c r="Z56" s="40" t="str">
        <f>IF(AND(Z$4&gt;=$D56,Z$4&lt;=$E56),1,"")</f>
        <v/>
      </c>
      <c r="AA56" s="40" t="str">
        <f>IF(AND(AA$4&gt;=$D56,AA$4&lt;=$E56),1,"")</f>
        <v/>
      </c>
      <c r="AB56" s="40" t="str">
        <f>IF(AND(AB$4&gt;=$D56,AB$4&lt;=$E56),1,"")</f>
        <v/>
      </c>
      <c r="AC56" s="41" t="str">
        <f>IF(AND(AC$4&gt;=$D56,AC$4&lt;=$E56),1,"")</f>
        <v/>
      </c>
      <c r="AD56" s="40" t="str">
        <f>IF(AND(AD$4&gt;=$D56,AD$4&lt;=$E56),1,"")</f>
        <v/>
      </c>
      <c r="AE56" s="40" t="str">
        <f>IF(AND(AE$4&gt;=$D56,AE$4&lt;=$E56),1,"")</f>
        <v/>
      </c>
    </row>
    <row r="57" spans="1:31" x14ac:dyDescent="0.25">
      <c r="A57" t="str">
        <f>Features!A52</f>
        <v>G4</v>
      </c>
      <c r="B57" t="str">
        <f>Features!C52</f>
        <v>Approval webhook -&gt; DarkHorse run</v>
      </c>
      <c r="C57" t="str">
        <f>Features!E52</f>
        <v>R2</v>
      </c>
      <c r="D57">
        <f>Features!I52</f>
        <v>11</v>
      </c>
      <c r="E57">
        <f>Features!J52</f>
        <v>14</v>
      </c>
      <c r="F57" s="40" t="str">
        <f>IF(AND(F$4&gt;=$D57,F$4&lt;=$E57),1,"")</f>
        <v/>
      </c>
      <c r="G57" s="40" t="str">
        <f>IF(AND(G$4&gt;=$D57,G$4&lt;=$E57),1,"")</f>
        <v/>
      </c>
      <c r="H57" s="40" t="str">
        <f>IF(AND(H$4&gt;=$D57,H$4&lt;=$E57),1,"")</f>
        <v/>
      </c>
      <c r="I57" s="41" t="str">
        <f>IF(AND(I$4&gt;=$D57,I$4&lt;=$E57),1,"")</f>
        <v/>
      </c>
      <c r="J57" s="40" t="str">
        <f>IF(AND(J$4&gt;=$D57,J$4&lt;=$E57),1,"")</f>
        <v/>
      </c>
      <c r="K57" s="40" t="str">
        <f>IF(AND(K$4&gt;=$D57,K$4&lt;=$E57),1,"")</f>
        <v/>
      </c>
      <c r="L57" s="40" t="str">
        <f>IF(AND(L$4&gt;=$D57,L$4&lt;=$E57),1,"")</f>
        <v/>
      </c>
      <c r="M57" s="41" t="str">
        <f>IF(AND(M$4&gt;=$D57,M$4&lt;=$E57),1,"")</f>
        <v/>
      </c>
      <c r="N57" s="40" t="str">
        <f>IF(AND(N$4&gt;=$D57,N$4&lt;=$E57),1,"")</f>
        <v/>
      </c>
      <c r="O57" s="40" t="str">
        <f>IF(AND(O$4&gt;=$D57,O$4&lt;=$E57),1,"")</f>
        <v/>
      </c>
      <c r="P57" s="40">
        <f>IF(AND(P$4&gt;=$D57,P$4&lt;=$E57),1,"")</f>
        <v>1</v>
      </c>
      <c r="Q57" s="40">
        <f>IF(AND(Q$4&gt;=$D57,Q$4&lt;=$E57),1,"")</f>
        <v>1</v>
      </c>
      <c r="R57" s="40">
        <f>IF(AND(R$4&gt;=$D57,R$4&lt;=$E57),1,"")</f>
        <v>1</v>
      </c>
      <c r="S57" s="41">
        <f>IF(AND(S$4&gt;=$D57,S$4&lt;=$E57),1,"")</f>
        <v>1</v>
      </c>
      <c r="T57" s="40" t="str">
        <f>IF(AND(T$4&gt;=$D57,T$4&lt;=$E57),1,"")</f>
        <v/>
      </c>
      <c r="U57" s="40" t="str">
        <f>IF(AND(U$4&gt;=$D57,U$4&lt;=$E57),1,"")</f>
        <v/>
      </c>
      <c r="V57" s="40" t="str">
        <f>IF(AND(V$4&gt;=$D57,V$4&lt;=$E57),1,"")</f>
        <v/>
      </c>
      <c r="W57" s="40" t="str">
        <f>IF(AND(W$4&gt;=$D57,W$4&lt;=$E57),1,"")</f>
        <v/>
      </c>
      <c r="X57" s="40" t="str">
        <f>IF(AND(X$4&gt;=$D57,X$4&lt;=$E57),1,"")</f>
        <v/>
      </c>
      <c r="Y57" s="41" t="str">
        <f>IF(AND(Y$4&gt;=$D57,Y$4&lt;=$E57),1,"")</f>
        <v/>
      </c>
      <c r="Z57" s="40" t="str">
        <f>IF(AND(Z$4&gt;=$D57,Z$4&lt;=$E57),1,"")</f>
        <v/>
      </c>
      <c r="AA57" s="40" t="str">
        <f>IF(AND(AA$4&gt;=$D57,AA$4&lt;=$E57),1,"")</f>
        <v/>
      </c>
      <c r="AB57" s="40" t="str">
        <f>IF(AND(AB$4&gt;=$D57,AB$4&lt;=$E57),1,"")</f>
        <v/>
      </c>
      <c r="AC57" s="41" t="str">
        <f>IF(AND(AC$4&gt;=$D57,AC$4&lt;=$E57),1,"")</f>
        <v/>
      </c>
      <c r="AD57" s="40" t="str">
        <f>IF(AND(AD$4&gt;=$D57,AD$4&lt;=$E57),1,"")</f>
        <v/>
      </c>
      <c r="AE57" s="40" t="str">
        <f>IF(AND(AE$4&gt;=$D57,AE$4&lt;=$E57),1,"")</f>
        <v/>
      </c>
    </row>
    <row r="58" spans="1:31" x14ac:dyDescent="0.25">
      <c r="A58" t="str">
        <f>Features!A53</f>
        <v>G5</v>
      </c>
      <c r="B58" t="str">
        <f>Features!C53</f>
        <v>Continuum schema additions</v>
      </c>
      <c r="C58" t="str">
        <f>Features!E53</f>
        <v>R2</v>
      </c>
      <c r="D58">
        <f>Features!I53</f>
        <v>9</v>
      </c>
      <c r="E58">
        <f>Features!J53</f>
        <v>11</v>
      </c>
      <c r="F58" s="40" t="str">
        <f>IF(AND(F$4&gt;=$D58,F$4&lt;=$E58),1,"")</f>
        <v/>
      </c>
      <c r="G58" s="40" t="str">
        <f>IF(AND(G$4&gt;=$D58,G$4&lt;=$E58),1,"")</f>
        <v/>
      </c>
      <c r="H58" s="40" t="str">
        <f>IF(AND(H$4&gt;=$D58,H$4&lt;=$E58),1,"")</f>
        <v/>
      </c>
      <c r="I58" s="41" t="str">
        <f>IF(AND(I$4&gt;=$D58,I$4&lt;=$E58),1,"")</f>
        <v/>
      </c>
      <c r="J58" s="40" t="str">
        <f>IF(AND(J$4&gt;=$D58,J$4&lt;=$E58),1,"")</f>
        <v/>
      </c>
      <c r="K58" s="40" t="str">
        <f>IF(AND(K$4&gt;=$D58,K$4&lt;=$E58),1,"")</f>
        <v/>
      </c>
      <c r="L58" s="40" t="str">
        <f>IF(AND(L$4&gt;=$D58,L$4&lt;=$E58),1,"")</f>
        <v/>
      </c>
      <c r="M58" s="41" t="str">
        <f>IF(AND(M$4&gt;=$D58,M$4&lt;=$E58),1,"")</f>
        <v/>
      </c>
      <c r="N58" s="40">
        <f>IF(AND(N$4&gt;=$D58,N$4&lt;=$E58),1,"")</f>
        <v>1</v>
      </c>
      <c r="O58" s="40">
        <f>IF(AND(O$4&gt;=$D58,O$4&lt;=$E58),1,"")</f>
        <v>1</v>
      </c>
      <c r="P58" s="40">
        <f>IF(AND(P$4&gt;=$D58,P$4&lt;=$E58),1,"")</f>
        <v>1</v>
      </c>
      <c r="Q58" s="40" t="str">
        <f>IF(AND(Q$4&gt;=$D58,Q$4&lt;=$E58),1,"")</f>
        <v/>
      </c>
      <c r="R58" s="40" t="str">
        <f>IF(AND(R$4&gt;=$D58,R$4&lt;=$E58),1,"")</f>
        <v/>
      </c>
      <c r="S58" s="41" t="str">
        <f>IF(AND(S$4&gt;=$D58,S$4&lt;=$E58),1,"")</f>
        <v/>
      </c>
      <c r="T58" s="40" t="str">
        <f>IF(AND(T$4&gt;=$D58,T$4&lt;=$E58),1,"")</f>
        <v/>
      </c>
      <c r="U58" s="40" t="str">
        <f>IF(AND(U$4&gt;=$D58,U$4&lt;=$E58),1,"")</f>
        <v/>
      </c>
      <c r="V58" s="40" t="str">
        <f>IF(AND(V$4&gt;=$D58,V$4&lt;=$E58),1,"")</f>
        <v/>
      </c>
      <c r="W58" s="40" t="str">
        <f>IF(AND(W$4&gt;=$D58,W$4&lt;=$E58),1,"")</f>
        <v/>
      </c>
      <c r="X58" s="40" t="str">
        <f>IF(AND(X$4&gt;=$D58,X$4&lt;=$E58),1,"")</f>
        <v/>
      </c>
      <c r="Y58" s="41" t="str">
        <f>IF(AND(Y$4&gt;=$D58,Y$4&lt;=$E58),1,"")</f>
        <v/>
      </c>
      <c r="Z58" s="40" t="str">
        <f>IF(AND(Z$4&gt;=$D58,Z$4&lt;=$E58),1,"")</f>
        <v/>
      </c>
      <c r="AA58" s="40" t="str">
        <f>IF(AND(AA$4&gt;=$D58,AA$4&lt;=$E58),1,"")</f>
        <v/>
      </c>
      <c r="AB58" s="40" t="str">
        <f>IF(AND(AB$4&gt;=$D58,AB$4&lt;=$E58),1,"")</f>
        <v/>
      </c>
      <c r="AC58" s="41" t="str">
        <f>IF(AND(AC$4&gt;=$D58,AC$4&lt;=$E58),1,"")</f>
        <v/>
      </c>
      <c r="AD58" s="40" t="str">
        <f>IF(AND(AD$4&gt;=$D58,AD$4&lt;=$E58),1,"")</f>
        <v/>
      </c>
      <c r="AE58" s="40" t="str">
        <f>IF(AND(AE$4&gt;=$D58,AE$4&lt;=$E58),1,"")</f>
        <v/>
      </c>
    </row>
    <row r="59" spans="1:31" x14ac:dyDescent="0.25">
      <c r="A59" t="str">
        <f>Features!A54</f>
        <v>G6</v>
      </c>
      <c r="B59" t="str">
        <f>Features!C54</f>
        <v>Continuum on Azure + Entra SSO</v>
      </c>
      <c r="C59" t="str">
        <f>Features!E54</f>
        <v>R2</v>
      </c>
      <c r="D59">
        <f>Features!I54</f>
        <v>7</v>
      </c>
      <c r="E59">
        <f>Features!J54</f>
        <v>11</v>
      </c>
      <c r="F59" s="40" t="str">
        <f>IF(AND(F$4&gt;=$D59,F$4&lt;=$E59),1,"")</f>
        <v/>
      </c>
      <c r="G59" s="40" t="str">
        <f>IF(AND(G$4&gt;=$D59,G$4&lt;=$E59),1,"")</f>
        <v/>
      </c>
      <c r="H59" s="40" t="str">
        <f>IF(AND(H$4&gt;=$D59,H$4&lt;=$E59),1,"")</f>
        <v/>
      </c>
      <c r="I59" s="41" t="str">
        <f>IF(AND(I$4&gt;=$D59,I$4&lt;=$E59),1,"")</f>
        <v/>
      </c>
      <c r="J59" s="40" t="str">
        <f>IF(AND(J$4&gt;=$D59,J$4&lt;=$E59),1,"")</f>
        <v/>
      </c>
      <c r="K59" s="40" t="str">
        <f>IF(AND(K$4&gt;=$D59,K$4&lt;=$E59),1,"")</f>
        <v/>
      </c>
      <c r="L59" s="40">
        <f>IF(AND(L$4&gt;=$D59,L$4&lt;=$E59),1,"")</f>
        <v>1</v>
      </c>
      <c r="M59" s="41">
        <f>IF(AND(M$4&gt;=$D59,M$4&lt;=$E59),1,"")</f>
        <v>1</v>
      </c>
      <c r="N59" s="40">
        <f>IF(AND(N$4&gt;=$D59,N$4&lt;=$E59),1,"")</f>
        <v>1</v>
      </c>
      <c r="O59" s="40">
        <f>IF(AND(O$4&gt;=$D59,O$4&lt;=$E59),1,"")</f>
        <v>1</v>
      </c>
      <c r="P59" s="40">
        <f>IF(AND(P$4&gt;=$D59,P$4&lt;=$E59),1,"")</f>
        <v>1</v>
      </c>
      <c r="Q59" s="40" t="str">
        <f>IF(AND(Q$4&gt;=$D59,Q$4&lt;=$E59),1,"")</f>
        <v/>
      </c>
      <c r="R59" s="40" t="str">
        <f>IF(AND(R$4&gt;=$D59,R$4&lt;=$E59),1,"")</f>
        <v/>
      </c>
      <c r="S59" s="41" t="str">
        <f>IF(AND(S$4&gt;=$D59,S$4&lt;=$E59),1,"")</f>
        <v/>
      </c>
      <c r="T59" s="40" t="str">
        <f>IF(AND(T$4&gt;=$D59,T$4&lt;=$E59),1,"")</f>
        <v/>
      </c>
      <c r="U59" s="40" t="str">
        <f>IF(AND(U$4&gt;=$D59,U$4&lt;=$E59),1,"")</f>
        <v/>
      </c>
      <c r="V59" s="40" t="str">
        <f>IF(AND(V$4&gt;=$D59,V$4&lt;=$E59),1,"")</f>
        <v/>
      </c>
      <c r="W59" s="40" t="str">
        <f>IF(AND(W$4&gt;=$D59,W$4&lt;=$E59),1,"")</f>
        <v/>
      </c>
      <c r="X59" s="40" t="str">
        <f>IF(AND(X$4&gt;=$D59,X$4&lt;=$E59),1,"")</f>
        <v/>
      </c>
      <c r="Y59" s="41" t="str">
        <f>IF(AND(Y$4&gt;=$D59,Y$4&lt;=$E59),1,"")</f>
        <v/>
      </c>
      <c r="Z59" s="40" t="str">
        <f>IF(AND(Z$4&gt;=$D59,Z$4&lt;=$E59),1,"")</f>
        <v/>
      </c>
      <c r="AA59" s="40" t="str">
        <f>IF(AND(AA$4&gt;=$D59,AA$4&lt;=$E59),1,"")</f>
        <v/>
      </c>
      <c r="AB59" s="40" t="str">
        <f>IF(AND(AB$4&gt;=$D59,AB$4&lt;=$E59),1,"")</f>
        <v/>
      </c>
      <c r="AC59" s="41" t="str">
        <f>IF(AND(AC$4&gt;=$D59,AC$4&lt;=$E59),1,"")</f>
        <v/>
      </c>
      <c r="AD59" s="40" t="str">
        <f>IF(AND(AD$4&gt;=$D59,AD$4&lt;=$E59),1,"")</f>
        <v/>
      </c>
      <c r="AE59" s="40" t="str">
        <f>IF(AND(AE$4&gt;=$D59,AE$4&lt;=$E59),1,"")</f>
        <v/>
      </c>
    </row>
    <row r="60" spans="1:31" x14ac:dyDescent="0.25">
      <c r="A60" t="str">
        <f>Features!A55</f>
        <v>G7</v>
      </c>
      <c r="B60" t="str">
        <f>Features!C55</f>
        <v>Continuum AI via LLM proxy</v>
      </c>
      <c r="C60" t="str">
        <f>Features!E55</f>
        <v>R2</v>
      </c>
      <c r="D60">
        <f>Features!I55</f>
        <v>10</v>
      </c>
      <c r="E60">
        <f>Features!J55</f>
        <v>12</v>
      </c>
      <c r="F60" s="40" t="str">
        <f>IF(AND(F$4&gt;=$D60,F$4&lt;=$E60),1,"")</f>
        <v/>
      </c>
      <c r="G60" s="40" t="str">
        <f>IF(AND(G$4&gt;=$D60,G$4&lt;=$E60),1,"")</f>
        <v/>
      </c>
      <c r="H60" s="40" t="str">
        <f>IF(AND(H$4&gt;=$D60,H$4&lt;=$E60),1,"")</f>
        <v/>
      </c>
      <c r="I60" s="41" t="str">
        <f>IF(AND(I$4&gt;=$D60,I$4&lt;=$E60),1,"")</f>
        <v/>
      </c>
      <c r="J60" s="40" t="str">
        <f>IF(AND(J$4&gt;=$D60,J$4&lt;=$E60),1,"")</f>
        <v/>
      </c>
      <c r="K60" s="40" t="str">
        <f>IF(AND(K$4&gt;=$D60,K$4&lt;=$E60),1,"")</f>
        <v/>
      </c>
      <c r="L60" s="40" t="str">
        <f>IF(AND(L$4&gt;=$D60,L$4&lt;=$E60),1,"")</f>
        <v/>
      </c>
      <c r="M60" s="41" t="str">
        <f>IF(AND(M$4&gt;=$D60,M$4&lt;=$E60),1,"")</f>
        <v/>
      </c>
      <c r="N60" s="40" t="str">
        <f>IF(AND(N$4&gt;=$D60,N$4&lt;=$E60),1,"")</f>
        <v/>
      </c>
      <c r="O60" s="40">
        <f>IF(AND(O$4&gt;=$D60,O$4&lt;=$E60),1,"")</f>
        <v>1</v>
      </c>
      <c r="P60" s="40">
        <f>IF(AND(P$4&gt;=$D60,P$4&lt;=$E60),1,"")</f>
        <v>1</v>
      </c>
      <c r="Q60" s="40">
        <f>IF(AND(Q$4&gt;=$D60,Q$4&lt;=$E60),1,"")</f>
        <v>1</v>
      </c>
      <c r="R60" s="40" t="str">
        <f>IF(AND(R$4&gt;=$D60,R$4&lt;=$E60),1,"")</f>
        <v/>
      </c>
      <c r="S60" s="41" t="str">
        <f>IF(AND(S$4&gt;=$D60,S$4&lt;=$E60),1,"")</f>
        <v/>
      </c>
      <c r="T60" s="40" t="str">
        <f>IF(AND(T$4&gt;=$D60,T$4&lt;=$E60),1,"")</f>
        <v/>
      </c>
      <c r="U60" s="40" t="str">
        <f>IF(AND(U$4&gt;=$D60,U$4&lt;=$E60),1,"")</f>
        <v/>
      </c>
      <c r="V60" s="40" t="str">
        <f>IF(AND(V$4&gt;=$D60,V$4&lt;=$E60),1,"")</f>
        <v/>
      </c>
      <c r="W60" s="40" t="str">
        <f>IF(AND(W$4&gt;=$D60,W$4&lt;=$E60),1,"")</f>
        <v/>
      </c>
      <c r="X60" s="40" t="str">
        <f>IF(AND(X$4&gt;=$D60,X$4&lt;=$E60),1,"")</f>
        <v/>
      </c>
      <c r="Y60" s="41" t="str">
        <f>IF(AND(Y$4&gt;=$D60,Y$4&lt;=$E60),1,"")</f>
        <v/>
      </c>
      <c r="Z60" s="40" t="str">
        <f>IF(AND(Z$4&gt;=$D60,Z$4&lt;=$E60),1,"")</f>
        <v/>
      </c>
      <c r="AA60" s="40" t="str">
        <f>IF(AND(AA$4&gt;=$D60,AA$4&lt;=$E60),1,"")</f>
        <v/>
      </c>
      <c r="AB60" s="40" t="str">
        <f>IF(AND(AB$4&gt;=$D60,AB$4&lt;=$E60),1,"")</f>
        <v/>
      </c>
      <c r="AC60" s="41" t="str">
        <f>IF(AND(AC$4&gt;=$D60,AC$4&lt;=$E60),1,"")</f>
        <v/>
      </c>
      <c r="AD60" s="40" t="str">
        <f>IF(AND(AD$4&gt;=$D60,AD$4&lt;=$E60),1,"")</f>
        <v/>
      </c>
      <c r="AE60" s="40" t="str">
        <f>IF(AND(AE$4&gt;=$D60,AE$4&lt;=$E60),1,"")</f>
        <v/>
      </c>
    </row>
    <row r="61" spans="1:31" x14ac:dyDescent="0.25">
      <c r="A61" t="str">
        <f>Features!A56</f>
        <v>G8</v>
      </c>
      <c r="B61" t="str">
        <f>Features!C56</f>
        <v>Continuum UI: Generate with DarkHorse</v>
      </c>
      <c r="C61" t="str">
        <f>Features!E56</f>
        <v>R3</v>
      </c>
      <c r="D61">
        <f>Features!I56</f>
        <v>14</v>
      </c>
      <c r="E61">
        <f>Features!J56</f>
        <v>18</v>
      </c>
      <c r="F61" s="40" t="str">
        <f>IF(AND(F$4&gt;=$D61,F$4&lt;=$E61),1,"")</f>
        <v/>
      </c>
      <c r="G61" s="40" t="str">
        <f>IF(AND(G$4&gt;=$D61,G$4&lt;=$E61),1,"")</f>
        <v/>
      </c>
      <c r="H61" s="40" t="str">
        <f>IF(AND(H$4&gt;=$D61,H$4&lt;=$E61),1,"")</f>
        <v/>
      </c>
      <c r="I61" s="41" t="str">
        <f>IF(AND(I$4&gt;=$D61,I$4&lt;=$E61),1,"")</f>
        <v/>
      </c>
      <c r="J61" s="40" t="str">
        <f>IF(AND(J$4&gt;=$D61,J$4&lt;=$E61),1,"")</f>
        <v/>
      </c>
      <c r="K61" s="40" t="str">
        <f>IF(AND(K$4&gt;=$D61,K$4&lt;=$E61),1,"")</f>
        <v/>
      </c>
      <c r="L61" s="40" t="str">
        <f>IF(AND(L$4&gt;=$D61,L$4&lt;=$E61),1,"")</f>
        <v/>
      </c>
      <c r="M61" s="41" t="str">
        <f>IF(AND(M$4&gt;=$D61,M$4&lt;=$E61),1,"")</f>
        <v/>
      </c>
      <c r="N61" s="40" t="str">
        <f>IF(AND(N$4&gt;=$D61,N$4&lt;=$E61),1,"")</f>
        <v/>
      </c>
      <c r="O61" s="40" t="str">
        <f>IF(AND(O$4&gt;=$D61,O$4&lt;=$E61),1,"")</f>
        <v/>
      </c>
      <c r="P61" s="40" t="str">
        <f>IF(AND(P$4&gt;=$D61,P$4&lt;=$E61),1,"")</f>
        <v/>
      </c>
      <c r="Q61" s="40" t="str">
        <f>IF(AND(Q$4&gt;=$D61,Q$4&lt;=$E61),1,"")</f>
        <v/>
      </c>
      <c r="R61" s="40" t="str">
        <f>IF(AND(R$4&gt;=$D61,R$4&lt;=$E61),1,"")</f>
        <v/>
      </c>
      <c r="S61" s="41">
        <f>IF(AND(S$4&gt;=$D61,S$4&lt;=$E61),1,"")</f>
        <v>1</v>
      </c>
      <c r="T61" s="40">
        <f>IF(AND(T$4&gt;=$D61,T$4&lt;=$E61),1,"")</f>
        <v>1</v>
      </c>
      <c r="U61" s="40">
        <f>IF(AND(U$4&gt;=$D61,U$4&lt;=$E61),1,"")</f>
        <v>1</v>
      </c>
      <c r="V61" s="40">
        <f>IF(AND(V$4&gt;=$D61,V$4&lt;=$E61),1,"")</f>
        <v>1</v>
      </c>
      <c r="W61" s="40">
        <f>IF(AND(W$4&gt;=$D61,W$4&lt;=$E61),1,"")</f>
        <v>1</v>
      </c>
      <c r="X61" s="40" t="str">
        <f>IF(AND(X$4&gt;=$D61,X$4&lt;=$E61),1,"")</f>
        <v/>
      </c>
      <c r="Y61" s="41" t="str">
        <f>IF(AND(Y$4&gt;=$D61,Y$4&lt;=$E61),1,"")</f>
        <v/>
      </c>
      <c r="Z61" s="40" t="str">
        <f>IF(AND(Z$4&gt;=$D61,Z$4&lt;=$E61),1,"")</f>
        <v/>
      </c>
      <c r="AA61" s="40" t="str">
        <f>IF(AND(AA$4&gt;=$D61,AA$4&lt;=$E61),1,"")</f>
        <v/>
      </c>
      <c r="AB61" s="40" t="str">
        <f>IF(AND(AB$4&gt;=$D61,AB$4&lt;=$E61),1,"")</f>
        <v/>
      </c>
      <c r="AC61" s="41" t="str">
        <f>IF(AND(AC$4&gt;=$D61,AC$4&lt;=$E61),1,"")</f>
        <v/>
      </c>
      <c r="AD61" s="40" t="str">
        <f>IF(AND(AD$4&gt;=$D61,AD$4&lt;=$E61),1,"")</f>
        <v/>
      </c>
      <c r="AE61" s="40" t="str">
        <f>IF(AND(AE$4&gt;=$D61,AE$4&lt;=$E61),1,"")</f>
        <v/>
      </c>
    </row>
    <row r="62" spans="1:29" x14ac:dyDescent="0.25">
      <c r="A62" s="48" t="s">
        <v>279</v>
      </c>
      <c r="B62" s="48"/>
      <c r="C62" s="48"/>
      <c r="D62" s="48"/>
      <c r="E62" s="48"/>
      <c r="I62" s="39"/>
      <c r="M62" s="39"/>
      <c r="S62" s="39"/>
      <c r="Y62" s="39"/>
      <c r="AC62" s="39"/>
    </row>
    <row r="63" spans="1:31" x14ac:dyDescent="0.25">
      <c r="A63" t="str">
        <f>Features!A57</f>
        <v>H1</v>
      </c>
      <c r="B63" t="str">
        <f>Features!C57</f>
        <v>ChickletFlow auth (Entra + service tokens)</v>
      </c>
      <c r="C63" t="str">
        <f>Features!E57</f>
        <v>R2</v>
      </c>
      <c r="D63">
        <f>Features!I57</f>
        <v>6</v>
      </c>
      <c r="E63">
        <f>Features!J57</f>
        <v>9</v>
      </c>
      <c r="F63" s="40" t="str">
        <f>IF(AND(F$4&gt;=$D63,F$4&lt;=$E63),1,"")</f>
        <v/>
      </c>
      <c r="G63" s="40" t="str">
        <f>IF(AND(G$4&gt;=$D63,G$4&lt;=$E63),1,"")</f>
        <v/>
      </c>
      <c r="H63" s="40" t="str">
        <f>IF(AND(H$4&gt;=$D63,H$4&lt;=$E63),1,"")</f>
        <v/>
      </c>
      <c r="I63" s="41" t="str">
        <f>IF(AND(I$4&gt;=$D63,I$4&lt;=$E63),1,"")</f>
        <v/>
      </c>
      <c r="J63" s="40" t="str">
        <f>IF(AND(J$4&gt;=$D63,J$4&lt;=$E63),1,"")</f>
        <v/>
      </c>
      <c r="K63" s="40">
        <f>IF(AND(K$4&gt;=$D63,K$4&lt;=$E63),1,"")</f>
        <v>1</v>
      </c>
      <c r="L63" s="40">
        <f>IF(AND(L$4&gt;=$D63,L$4&lt;=$E63),1,"")</f>
        <v>1</v>
      </c>
      <c r="M63" s="41">
        <f>IF(AND(M$4&gt;=$D63,M$4&lt;=$E63),1,"")</f>
        <v>1</v>
      </c>
      <c r="N63" s="40">
        <f>IF(AND(N$4&gt;=$D63,N$4&lt;=$E63),1,"")</f>
        <v>1</v>
      </c>
      <c r="O63" s="40" t="str">
        <f>IF(AND(O$4&gt;=$D63,O$4&lt;=$E63),1,"")</f>
        <v/>
      </c>
      <c r="P63" s="40" t="str">
        <f>IF(AND(P$4&gt;=$D63,P$4&lt;=$E63),1,"")</f>
        <v/>
      </c>
      <c r="Q63" s="40" t="str">
        <f>IF(AND(Q$4&gt;=$D63,Q$4&lt;=$E63),1,"")</f>
        <v/>
      </c>
      <c r="R63" s="40" t="str">
        <f>IF(AND(R$4&gt;=$D63,R$4&lt;=$E63),1,"")</f>
        <v/>
      </c>
      <c r="S63" s="41" t="str">
        <f>IF(AND(S$4&gt;=$D63,S$4&lt;=$E63),1,"")</f>
        <v/>
      </c>
      <c r="T63" s="40" t="str">
        <f>IF(AND(T$4&gt;=$D63,T$4&lt;=$E63),1,"")</f>
        <v/>
      </c>
      <c r="U63" s="40" t="str">
        <f>IF(AND(U$4&gt;=$D63,U$4&lt;=$E63),1,"")</f>
        <v/>
      </c>
      <c r="V63" s="40" t="str">
        <f>IF(AND(V$4&gt;=$D63,V$4&lt;=$E63),1,"")</f>
        <v/>
      </c>
      <c r="W63" s="40" t="str">
        <f>IF(AND(W$4&gt;=$D63,W$4&lt;=$E63),1,"")</f>
        <v/>
      </c>
      <c r="X63" s="40" t="str">
        <f>IF(AND(X$4&gt;=$D63,X$4&lt;=$E63),1,"")</f>
        <v/>
      </c>
      <c r="Y63" s="41" t="str">
        <f>IF(AND(Y$4&gt;=$D63,Y$4&lt;=$E63),1,"")</f>
        <v/>
      </c>
      <c r="Z63" s="40" t="str">
        <f>IF(AND(Z$4&gt;=$D63,Z$4&lt;=$E63),1,"")</f>
        <v/>
      </c>
      <c r="AA63" s="40" t="str">
        <f>IF(AND(AA$4&gt;=$D63,AA$4&lt;=$E63),1,"")</f>
        <v/>
      </c>
      <c r="AB63" s="40" t="str">
        <f>IF(AND(AB$4&gt;=$D63,AB$4&lt;=$E63),1,"")</f>
        <v/>
      </c>
      <c r="AC63" s="41" t="str">
        <f>IF(AND(AC$4&gt;=$D63,AC$4&lt;=$E63),1,"")</f>
        <v/>
      </c>
      <c r="AD63" s="40" t="str">
        <f>IF(AND(AD$4&gt;=$D63,AD$4&lt;=$E63),1,"")</f>
        <v/>
      </c>
      <c r="AE63" s="40" t="str">
        <f>IF(AND(AE$4&gt;=$D63,AE$4&lt;=$E63),1,"")</f>
        <v/>
      </c>
    </row>
    <row r="64" spans="1:31" x14ac:dyDescent="0.25">
      <c r="A64" t="str">
        <f>Features!A58</f>
        <v>H2</v>
      </c>
      <c r="B64" t="str">
        <f>Features!C58</f>
        <v>Work item link fields</v>
      </c>
      <c r="C64" t="str">
        <f>Features!E58</f>
        <v>R2</v>
      </c>
      <c r="D64">
        <f>Features!I58</f>
        <v>8</v>
      </c>
      <c r="E64">
        <f>Features!J58</f>
        <v>10</v>
      </c>
      <c r="F64" s="40" t="str">
        <f>IF(AND(F$4&gt;=$D64,F$4&lt;=$E64),1,"")</f>
        <v/>
      </c>
      <c r="G64" s="40" t="str">
        <f>IF(AND(G$4&gt;=$D64,G$4&lt;=$E64),1,"")</f>
        <v/>
      </c>
      <c r="H64" s="40" t="str">
        <f>IF(AND(H$4&gt;=$D64,H$4&lt;=$E64),1,"")</f>
        <v/>
      </c>
      <c r="I64" s="41" t="str">
        <f>IF(AND(I$4&gt;=$D64,I$4&lt;=$E64),1,"")</f>
        <v/>
      </c>
      <c r="J64" s="40" t="str">
        <f>IF(AND(J$4&gt;=$D64,J$4&lt;=$E64),1,"")</f>
        <v/>
      </c>
      <c r="K64" s="40" t="str">
        <f>IF(AND(K$4&gt;=$D64,K$4&lt;=$E64),1,"")</f>
        <v/>
      </c>
      <c r="L64" s="40" t="str">
        <f>IF(AND(L$4&gt;=$D64,L$4&lt;=$E64),1,"")</f>
        <v/>
      </c>
      <c r="M64" s="41">
        <f>IF(AND(M$4&gt;=$D64,M$4&lt;=$E64),1,"")</f>
        <v>1</v>
      </c>
      <c r="N64" s="40">
        <f>IF(AND(N$4&gt;=$D64,N$4&lt;=$E64),1,"")</f>
        <v>1</v>
      </c>
      <c r="O64" s="40">
        <f>IF(AND(O$4&gt;=$D64,O$4&lt;=$E64),1,"")</f>
        <v>1</v>
      </c>
      <c r="P64" s="40" t="str">
        <f>IF(AND(P$4&gt;=$D64,P$4&lt;=$E64),1,"")</f>
        <v/>
      </c>
      <c r="Q64" s="40" t="str">
        <f>IF(AND(Q$4&gt;=$D64,Q$4&lt;=$E64),1,"")</f>
        <v/>
      </c>
      <c r="R64" s="40" t="str">
        <f>IF(AND(R$4&gt;=$D64,R$4&lt;=$E64),1,"")</f>
        <v/>
      </c>
      <c r="S64" s="41" t="str">
        <f>IF(AND(S$4&gt;=$D64,S$4&lt;=$E64),1,"")</f>
        <v/>
      </c>
      <c r="T64" s="40" t="str">
        <f>IF(AND(T$4&gt;=$D64,T$4&lt;=$E64),1,"")</f>
        <v/>
      </c>
      <c r="U64" s="40" t="str">
        <f>IF(AND(U$4&gt;=$D64,U$4&lt;=$E64),1,"")</f>
        <v/>
      </c>
      <c r="V64" s="40" t="str">
        <f>IF(AND(V$4&gt;=$D64,V$4&lt;=$E64),1,"")</f>
        <v/>
      </c>
      <c r="W64" s="40" t="str">
        <f>IF(AND(W$4&gt;=$D64,W$4&lt;=$E64),1,"")</f>
        <v/>
      </c>
      <c r="X64" s="40" t="str">
        <f>IF(AND(X$4&gt;=$D64,X$4&lt;=$E64),1,"")</f>
        <v/>
      </c>
      <c r="Y64" s="41" t="str">
        <f>IF(AND(Y$4&gt;=$D64,Y$4&lt;=$E64),1,"")</f>
        <v/>
      </c>
      <c r="Z64" s="40" t="str">
        <f>IF(AND(Z$4&gt;=$D64,Z$4&lt;=$E64),1,"")</f>
        <v/>
      </c>
      <c r="AA64" s="40" t="str">
        <f>IF(AND(AA$4&gt;=$D64,AA$4&lt;=$E64),1,"")</f>
        <v/>
      </c>
      <c r="AB64" s="40" t="str">
        <f>IF(AND(AB$4&gt;=$D64,AB$4&lt;=$E64),1,"")</f>
        <v/>
      </c>
      <c r="AC64" s="41" t="str">
        <f>IF(AND(AC$4&gt;=$D64,AC$4&lt;=$E64),1,"")</f>
        <v/>
      </c>
      <c r="AD64" s="40" t="str">
        <f>IF(AND(AD$4&gt;=$D64,AD$4&lt;=$E64),1,"")</f>
        <v/>
      </c>
      <c r="AE64" s="40" t="str">
        <f>IF(AND(AE$4&gt;=$D64,AE$4&lt;=$E64),1,"")</f>
        <v/>
      </c>
    </row>
    <row r="65" spans="1:31" x14ac:dyDescent="0.25">
      <c r="A65" t="str">
        <f>Features!A59</f>
        <v>H3</v>
      </c>
      <c r="B65" t="str">
        <f>Features!C59</f>
        <v>Events endpoint + status_history source</v>
      </c>
      <c r="C65" t="str">
        <f>Features!E59</f>
        <v>R2</v>
      </c>
      <c r="D65">
        <f>Features!I59</f>
        <v>9</v>
      </c>
      <c r="E65">
        <f>Features!J59</f>
        <v>12</v>
      </c>
      <c r="F65" s="40" t="str">
        <f>IF(AND(F$4&gt;=$D65,F$4&lt;=$E65),1,"")</f>
        <v/>
      </c>
      <c r="G65" s="40" t="str">
        <f>IF(AND(G$4&gt;=$D65,G$4&lt;=$E65),1,"")</f>
        <v/>
      </c>
      <c r="H65" s="40" t="str">
        <f>IF(AND(H$4&gt;=$D65,H$4&lt;=$E65),1,"")</f>
        <v/>
      </c>
      <c r="I65" s="41" t="str">
        <f>IF(AND(I$4&gt;=$D65,I$4&lt;=$E65),1,"")</f>
        <v/>
      </c>
      <c r="J65" s="40" t="str">
        <f>IF(AND(J$4&gt;=$D65,J$4&lt;=$E65),1,"")</f>
        <v/>
      </c>
      <c r="K65" s="40" t="str">
        <f>IF(AND(K$4&gt;=$D65,K$4&lt;=$E65),1,"")</f>
        <v/>
      </c>
      <c r="L65" s="40" t="str">
        <f>IF(AND(L$4&gt;=$D65,L$4&lt;=$E65),1,"")</f>
        <v/>
      </c>
      <c r="M65" s="41" t="str">
        <f>IF(AND(M$4&gt;=$D65,M$4&lt;=$E65),1,"")</f>
        <v/>
      </c>
      <c r="N65" s="40">
        <f>IF(AND(N$4&gt;=$D65,N$4&lt;=$E65),1,"")</f>
        <v>1</v>
      </c>
      <c r="O65" s="40">
        <f>IF(AND(O$4&gt;=$D65,O$4&lt;=$E65),1,"")</f>
        <v>1</v>
      </c>
      <c r="P65" s="40">
        <f>IF(AND(P$4&gt;=$D65,P$4&lt;=$E65),1,"")</f>
        <v>1</v>
      </c>
      <c r="Q65" s="40">
        <f>IF(AND(Q$4&gt;=$D65,Q$4&lt;=$E65),1,"")</f>
        <v>1</v>
      </c>
      <c r="R65" s="40" t="str">
        <f>IF(AND(R$4&gt;=$D65,R$4&lt;=$E65),1,"")</f>
        <v/>
      </c>
      <c r="S65" s="41" t="str">
        <f>IF(AND(S$4&gt;=$D65,S$4&lt;=$E65),1,"")</f>
        <v/>
      </c>
      <c r="T65" s="40" t="str">
        <f>IF(AND(T$4&gt;=$D65,T$4&lt;=$E65),1,"")</f>
        <v/>
      </c>
      <c r="U65" s="40" t="str">
        <f>IF(AND(U$4&gt;=$D65,U$4&lt;=$E65),1,"")</f>
        <v/>
      </c>
      <c r="V65" s="40" t="str">
        <f>IF(AND(V$4&gt;=$D65,V$4&lt;=$E65),1,"")</f>
        <v/>
      </c>
      <c r="W65" s="40" t="str">
        <f>IF(AND(W$4&gt;=$D65,W$4&lt;=$E65),1,"")</f>
        <v/>
      </c>
      <c r="X65" s="40" t="str">
        <f>IF(AND(X$4&gt;=$D65,X$4&lt;=$E65),1,"")</f>
        <v/>
      </c>
      <c r="Y65" s="41" t="str">
        <f>IF(AND(Y$4&gt;=$D65,Y$4&lt;=$E65),1,"")</f>
        <v/>
      </c>
      <c r="Z65" s="40" t="str">
        <f>IF(AND(Z$4&gt;=$D65,Z$4&lt;=$E65),1,"")</f>
        <v/>
      </c>
      <c r="AA65" s="40" t="str">
        <f>IF(AND(AA$4&gt;=$D65,AA$4&lt;=$E65),1,"")</f>
        <v/>
      </c>
      <c r="AB65" s="40" t="str">
        <f>IF(AND(AB$4&gt;=$D65,AB$4&lt;=$E65),1,"")</f>
        <v/>
      </c>
      <c r="AC65" s="41" t="str">
        <f>IF(AND(AC$4&gt;=$D65,AC$4&lt;=$E65),1,"")</f>
        <v/>
      </c>
      <c r="AD65" s="40" t="str">
        <f>IF(AND(AD$4&gt;=$D65,AD$4&lt;=$E65),1,"")</f>
        <v/>
      </c>
      <c r="AE65" s="40" t="str">
        <f>IF(AND(AE$4&gt;=$D65,AE$4&lt;=$E65),1,"")</f>
        <v/>
      </c>
    </row>
    <row r="66" spans="1:31" x14ac:dyDescent="0.25">
      <c r="A66" t="str">
        <f>Features!A60</f>
        <v>H4</v>
      </c>
      <c r="B66" t="str">
        <f>Features!C60</f>
        <v>DarkHorse StatusReporter</v>
      </c>
      <c r="C66" t="str">
        <f>Features!E60</f>
        <v>R2</v>
      </c>
      <c r="D66">
        <f>Features!I60</f>
        <v>11</v>
      </c>
      <c r="E66">
        <f>Features!J60</f>
        <v>14</v>
      </c>
      <c r="F66" s="40" t="str">
        <f>IF(AND(F$4&gt;=$D66,F$4&lt;=$E66),1,"")</f>
        <v/>
      </c>
      <c r="G66" s="40" t="str">
        <f>IF(AND(G$4&gt;=$D66,G$4&lt;=$E66),1,"")</f>
        <v/>
      </c>
      <c r="H66" s="40" t="str">
        <f>IF(AND(H$4&gt;=$D66,H$4&lt;=$E66),1,"")</f>
        <v/>
      </c>
      <c r="I66" s="41" t="str">
        <f>IF(AND(I$4&gt;=$D66,I$4&lt;=$E66),1,"")</f>
        <v/>
      </c>
      <c r="J66" s="40" t="str">
        <f>IF(AND(J$4&gt;=$D66,J$4&lt;=$E66),1,"")</f>
        <v/>
      </c>
      <c r="K66" s="40" t="str">
        <f>IF(AND(K$4&gt;=$D66,K$4&lt;=$E66),1,"")</f>
        <v/>
      </c>
      <c r="L66" s="40" t="str">
        <f>IF(AND(L$4&gt;=$D66,L$4&lt;=$E66),1,"")</f>
        <v/>
      </c>
      <c r="M66" s="41" t="str">
        <f>IF(AND(M$4&gt;=$D66,M$4&lt;=$E66),1,"")</f>
        <v/>
      </c>
      <c r="N66" s="40" t="str">
        <f>IF(AND(N$4&gt;=$D66,N$4&lt;=$E66),1,"")</f>
        <v/>
      </c>
      <c r="O66" s="40" t="str">
        <f>IF(AND(O$4&gt;=$D66,O$4&lt;=$E66),1,"")</f>
        <v/>
      </c>
      <c r="P66" s="40">
        <f>IF(AND(P$4&gt;=$D66,P$4&lt;=$E66),1,"")</f>
        <v>1</v>
      </c>
      <c r="Q66" s="40">
        <f>IF(AND(Q$4&gt;=$D66,Q$4&lt;=$E66),1,"")</f>
        <v>1</v>
      </c>
      <c r="R66" s="40">
        <f>IF(AND(R$4&gt;=$D66,R$4&lt;=$E66),1,"")</f>
        <v>1</v>
      </c>
      <c r="S66" s="41">
        <f>IF(AND(S$4&gt;=$D66,S$4&lt;=$E66),1,"")</f>
        <v>1</v>
      </c>
      <c r="T66" s="40" t="str">
        <f>IF(AND(T$4&gt;=$D66,T$4&lt;=$E66),1,"")</f>
        <v/>
      </c>
      <c r="U66" s="40" t="str">
        <f>IF(AND(U$4&gt;=$D66,U$4&lt;=$E66),1,"")</f>
        <v/>
      </c>
      <c r="V66" s="40" t="str">
        <f>IF(AND(V$4&gt;=$D66,V$4&lt;=$E66),1,"")</f>
        <v/>
      </c>
      <c r="W66" s="40" t="str">
        <f>IF(AND(W$4&gt;=$D66,W$4&lt;=$E66),1,"")</f>
        <v/>
      </c>
      <c r="X66" s="40" t="str">
        <f>IF(AND(X$4&gt;=$D66,X$4&lt;=$E66),1,"")</f>
        <v/>
      </c>
      <c r="Y66" s="41" t="str">
        <f>IF(AND(Y$4&gt;=$D66,Y$4&lt;=$E66),1,"")</f>
        <v/>
      </c>
      <c r="Z66" s="40" t="str">
        <f>IF(AND(Z$4&gt;=$D66,Z$4&lt;=$E66),1,"")</f>
        <v/>
      </c>
      <c r="AA66" s="40" t="str">
        <f>IF(AND(AA$4&gt;=$D66,AA$4&lt;=$E66),1,"")</f>
        <v/>
      </c>
      <c r="AB66" s="40" t="str">
        <f>IF(AND(AB$4&gt;=$D66,AB$4&lt;=$E66),1,"")</f>
        <v/>
      </c>
      <c r="AC66" s="41" t="str">
        <f>IF(AND(AC$4&gt;=$D66,AC$4&lt;=$E66),1,"")</f>
        <v/>
      </c>
      <c r="AD66" s="40" t="str">
        <f>IF(AND(AD$4&gt;=$D66,AD$4&lt;=$E66),1,"")</f>
        <v/>
      </c>
      <c r="AE66" s="40" t="str">
        <f>IF(AND(AE$4&gt;=$D66,AE$4&lt;=$E66),1,"")</f>
        <v/>
      </c>
    </row>
    <row r="67" spans="1:31" x14ac:dyDescent="0.25">
      <c r="A67" t="str">
        <f>Features!A61</f>
        <v>H5</v>
      </c>
      <c r="B67" t="str">
        <f>Features!C61</f>
        <v>Auto-status mapping rules</v>
      </c>
      <c r="C67" t="str">
        <f>Features!E61</f>
        <v>R2</v>
      </c>
      <c r="D67">
        <f>Features!I61</f>
        <v>12</v>
      </c>
      <c r="E67">
        <f>Features!J61</f>
        <v>14</v>
      </c>
      <c r="F67" s="40" t="str">
        <f>IF(AND(F$4&gt;=$D67,F$4&lt;=$E67),1,"")</f>
        <v/>
      </c>
      <c r="G67" s="40" t="str">
        <f>IF(AND(G$4&gt;=$D67,G$4&lt;=$E67),1,"")</f>
        <v/>
      </c>
      <c r="H67" s="40" t="str">
        <f>IF(AND(H$4&gt;=$D67,H$4&lt;=$E67),1,"")</f>
        <v/>
      </c>
      <c r="I67" s="41" t="str">
        <f>IF(AND(I$4&gt;=$D67,I$4&lt;=$E67),1,"")</f>
        <v/>
      </c>
      <c r="J67" s="40" t="str">
        <f>IF(AND(J$4&gt;=$D67,J$4&lt;=$E67),1,"")</f>
        <v/>
      </c>
      <c r="K67" s="40" t="str">
        <f>IF(AND(K$4&gt;=$D67,K$4&lt;=$E67),1,"")</f>
        <v/>
      </c>
      <c r="L67" s="40" t="str">
        <f>IF(AND(L$4&gt;=$D67,L$4&lt;=$E67),1,"")</f>
        <v/>
      </c>
      <c r="M67" s="41" t="str">
        <f>IF(AND(M$4&gt;=$D67,M$4&lt;=$E67),1,"")</f>
        <v/>
      </c>
      <c r="N67" s="40" t="str">
        <f>IF(AND(N$4&gt;=$D67,N$4&lt;=$E67),1,"")</f>
        <v/>
      </c>
      <c r="O67" s="40" t="str">
        <f>IF(AND(O$4&gt;=$D67,O$4&lt;=$E67),1,"")</f>
        <v/>
      </c>
      <c r="P67" s="40" t="str">
        <f>IF(AND(P$4&gt;=$D67,P$4&lt;=$E67),1,"")</f>
        <v/>
      </c>
      <c r="Q67" s="40">
        <f>IF(AND(Q$4&gt;=$D67,Q$4&lt;=$E67),1,"")</f>
        <v>1</v>
      </c>
      <c r="R67" s="40">
        <f>IF(AND(R$4&gt;=$D67,R$4&lt;=$E67),1,"")</f>
        <v>1</v>
      </c>
      <c r="S67" s="41">
        <f>IF(AND(S$4&gt;=$D67,S$4&lt;=$E67),1,"")</f>
        <v>1</v>
      </c>
      <c r="T67" s="40" t="str">
        <f>IF(AND(T$4&gt;=$D67,T$4&lt;=$E67),1,"")</f>
        <v/>
      </c>
      <c r="U67" s="40" t="str">
        <f>IF(AND(U$4&gt;=$D67,U$4&lt;=$E67),1,"")</f>
        <v/>
      </c>
      <c r="V67" s="40" t="str">
        <f>IF(AND(V$4&gt;=$D67,V$4&lt;=$E67),1,"")</f>
        <v/>
      </c>
      <c r="W67" s="40" t="str">
        <f>IF(AND(W$4&gt;=$D67,W$4&lt;=$E67),1,"")</f>
        <v/>
      </c>
      <c r="X67" s="40" t="str">
        <f>IF(AND(X$4&gt;=$D67,X$4&lt;=$E67),1,"")</f>
        <v/>
      </c>
      <c r="Y67" s="41" t="str">
        <f>IF(AND(Y$4&gt;=$D67,Y$4&lt;=$E67),1,"")</f>
        <v/>
      </c>
      <c r="Z67" s="40" t="str">
        <f>IF(AND(Z$4&gt;=$D67,Z$4&lt;=$E67),1,"")</f>
        <v/>
      </c>
      <c r="AA67" s="40" t="str">
        <f>IF(AND(AA$4&gt;=$D67,AA$4&lt;=$E67),1,"")</f>
        <v/>
      </c>
      <c r="AB67" s="40" t="str">
        <f>IF(AND(AB$4&gt;=$D67,AB$4&lt;=$E67),1,"")</f>
        <v/>
      </c>
      <c r="AC67" s="41" t="str">
        <f>IF(AND(AC$4&gt;=$D67,AC$4&lt;=$E67),1,"")</f>
        <v/>
      </c>
      <c r="AD67" s="40" t="str">
        <f>IF(AND(AD$4&gt;=$D67,AD$4&lt;=$E67),1,"")</f>
        <v/>
      </c>
      <c r="AE67" s="40" t="str">
        <f>IF(AND(AE$4&gt;=$D67,AE$4&lt;=$E67),1,"")</f>
        <v/>
      </c>
    </row>
    <row r="68" spans="1:31" x14ac:dyDescent="0.25">
      <c r="A68" t="str">
        <f>Features!A62</f>
        <v>H6</v>
      </c>
      <c r="B68" t="str">
        <f>Features!C62</f>
        <v>ChickletFlow on Azure</v>
      </c>
      <c r="C68" t="str">
        <f>Features!E62</f>
        <v>R2</v>
      </c>
      <c r="D68">
        <f>Features!I62</f>
        <v>8</v>
      </c>
      <c r="E68">
        <f>Features!J62</f>
        <v>11</v>
      </c>
      <c r="F68" s="40" t="str">
        <f>IF(AND(F$4&gt;=$D68,F$4&lt;=$E68),1,"")</f>
        <v/>
      </c>
      <c r="G68" s="40" t="str">
        <f>IF(AND(G$4&gt;=$D68,G$4&lt;=$E68),1,"")</f>
        <v/>
      </c>
      <c r="H68" s="40" t="str">
        <f>IF(AND(H$4&gt;=$D68,H$4&lt;=$E68),1,"")</f>
        <v/>
      </c>
      <c r="I68" s="41" t="str">
        <f>IF(AND(I$4&gt;=$D68,I$4&lt;=$E68),1,"")</f>
        <v/>
      </c>
      <c r="J68" s="40" t="str">
        <f>IF(AND(J$4&gt;=$D68,J$4&lt;=$E68),1,"")</f>
        <v/>
      </c>
      <c r="K68" s="40" t="str">
        <f>IF(AND(K$4&gt;=$D68,K$4&lt;=$E68),1,"")</f>
        <v/>
      </c>
      <c r="L68" s="40" t="str">
        <f>IF(AND(L$4&gt;=$D68,L$4&lt;=$E68),1,"")</f>
        <v/>
      </c>
      <c r="M68" s="41">
        <f>IF(AND(M$4&gt;=$D68,M$4&lt;=$E68),1,"")</f>
        <v>1</v>
      </c>
      <c r="N68" s="40">
        <f>IF(AND(N$4&gt;=$D68,N$4&lt;=$E68),1,"")</f>
        <v>1</v>
      </c>
      <c r="O68" s="40">
        <f>IF(AND(O$4&gt;=$D68,O$4&lt;=$E68),1,"")</f>
        <v>1</v>
      </c>
      <c r="P68" s="40">
        <f>IF(AND(P$4&gt;=$D68,P$4&lt;=$E68),1,"")</f>
        <v>1</v>
      </c>
      <c r="Q68" s="40" t="str">
        <f>IF(AND(Q$4&gt;=$D68,Q$4&lt;=$E68),1,"")</f>
        <v/>
      </c>
      <c r="R68" s="40" t="str">
        <f>IF(AND(R$4&gt;=$D68,R$4&lt;=$E68),1,"")</f>
        <v/>
      </c>
      <c r="S68" s="41" t="str">
        <f>IF(AND(S$4&gt;=$D68,S$4&lt;=$E68),1,"")</f>
        <v/>
      </c>
      <c r="T68" s="40" t="str">
        <f>IF(AND(T$4&gt;=$D68,T$4&lt;=$E68),1,"")</f>
        <v/>
      </c>
      <c r="U68" s="40" t="str">
        <f>IF(AND(U$4&gt;=$D68,U$4&lt;=$E68),1,"")</f>
        <v/>
      </c>
      <c r="V68" s="40" t="str">
        <f>IF(AND(V$4&gt;=$D68,V$4&lt;=$E68),1,"")</f>
        <v/>
      </c>
      <c r="W68" s="40" t="str">
        <f>IF(AND(W$4&gt;=$D68,W$4&lt;=$E68),1,"")</f>
        <v/>
      </c>
      <c r="X68" s="40" t="str">
        <f>IF(AND(X$4&gt;=$D68,X$4&lt;=$E68),1,"")</f>
        <v/>
      </c>
      <c r="Y68" s="41" t="str">
        <f>IF(AND(Y$4&gt;=$D68,Y$4&lt;=$E68),1,"")</f>
        <v/>
      </c>
      <c r="Z68" s="40" t="str">
        <f>IF(AND(Z$4&gt;=$D68,Z$4&lt;=$E68),1,"")</f>
        <v/>
      </c>
      <c r="AA68" s="40" t="str">
        <f>IF(AND(AA$4&gt;=$D68,AA$4&lt;=$E68),1,"")</f>
        <v/>
      </c>
      <c r="AB68" s="40" t="str">
        <f>IF(AND(AB$4&gt;=$D68,AB$4&lt;=$E68),1,"")</f>
        <v/>
      </c>
      <c r="AC68" s="41" t="str">
        <f>IF(AND(AC$4&gt;=$D68,AC$4&lt;=$E68),1,"")</f>
        <v/>
      </c>
      <c r="AD68" s="40" t="str">
        <f>IF(AND(AD$4&gt;=$D68,AD$4&lt;=$E68),1,"")</f>
        <v/>
      </c>
      <c r="AE68" s="40" t="str">
        <f>IF(AND(AE$4&gt;=$D68,AE$4&lt;=$E68),1,"")</f>
        <v/>
      </c>
    </row>
    <row r="69" spans="1:31" x14ac:dyDescent="0.25">
      <c r="A69" t="str">
        <f>Features!A63</f>
        <v>H7</v>
      </c>
      <c r="B69" t="str">
        <f>Features!C63</f>
        <v>Board: run badge + delivery dashboard</v>
      </c>
      <c r="C69" t="str">
        <f>Features!E63</f>
        <v>R3</v>
      </c>
      <c r="D69">
        <f>Features!I63</f>
        <v>15</v>
      </c>
      <c r="E69">
        <f>Features!J63</f>
        <v>19</v>
      </c>
      <c r="F69" s="40" t="str">
        <f>IF(AND(F$4&gt;=$D69,F$4&lt;=$E69),1,"")</f>
        <v/>
      </c>
      <c r="G69" s="40" t="str">
        <f>IF(AND(G$4&gt;=$D69,G$4&lt;=$E69),1,"")</f>
        <v/>
      </c>
      <c r="H69" s="40" t="str">
        <f>IF(AND(H$4&gt;=$D69,H$4&lt;=$E69),1,"")</f>
        <v/>
      </c>
      <c r="I69" s="41" t="str">
        <f>IF(AND(I$4&gt;=$D69,I$4&lt;=$E69),1,"")</f>
        <v/>
      </c>
      <c r="J69" s="40" t="str">
        <f>IF(AND(J$4&gt;=$D69,J$4&lt;=$E69),1,"")</f>
        <v/>
      </c>
      <c r="K69" s="40" t="str">
        <f>IF(AND(K$4&gt;=$D69,K$4&lt;=$E69),1,"")</f>
        <v/>
      </c>
      <c r="L69" s="40" t="str">
        <f>IF(AND(L$4&gt;=$D69,L$4&lt;=$E69),1,"")</f>
        <v/>
      </c>
      <c r="M69" s="41" t="str">
        <f>IF(AND(M$4&gt;=$D69,M$4&lt;=$E69),1,"")</f>
        <v/>
      </c>
      <c r="N69" s="40" t="str">
        <f>IF(AND(N$4&gt;=$D69,N$4&lt;=$E69),1,"")</f>
        <v/>
      </c>
      <c r="O69" s="40" t="str">
        <f>IF(AND(O$4&gt;=$D69,O$4&lt;=$E69),1,"")</f>
        <v/>
      </c>
      <c r="P69" s="40" t="str">
        <f>IF(AND(P$4&gt;=$D69,P$4&lt;=$E69),1,"")</f>
        <v/>
      </c>
      <c r="Q69" s="40" t="str">
        <f>IF(AND(Q$4&gt;=$D69,Q$4&lt;=$E69),1,"")</f>
        <v/>
      </c>
      <c r="R69" s="40" t="str">
        <f>IF(AND(R$4&gt;=$D69,R$4&lt;=$E69),1,"")</f>
        <v/>
      </c>
      <c r="S69" s="41" t="str">
        <f>IF(AND(S$4&gt;=$D69,S$4&lt;=$E69),1,"")</f>
        <v/>
      </c>
      <c r="T69" s="40">
        <f>IF(AND(T$4&gt;=$D69,T$4&lt;=$E69),1,"")</f>
        <v>1</v>
      </c>
      <c r="U69" s="40">
        <f>IF(AND(U$4&gt;=$D69,U$4&lt;=$E69),1,"")</f>
        <v>1</v>
      </c>
      <c r="V69" s="40">
        <f>IF(AND(V$4&gt;=$D69,V$4&lt;=$E69),1,"")</f>
        <v>1</v>
      </c>
      <c r="W69" s="40">
        <f>IF(AND(W$4&gt;=$D69,W$4&lt;=$E69),1,"")</f>
        <v>1</v>
      </c>
      <c r="X69" s="40">
        <f>IF(AND(X$4&gt;=$D69,X$4&lt;=$E69),1,"")</f>
        <v>1</v>
      </c>
      <c r="Y69" s="41" t="str">
        <f>IF(AND(Y$4&gt;=$D69,Y$4&lt;=$E69),1,"")</f>
        <v/>
      </c>
      <c r="Z69" s="40" t="str">
        <f>IF(AND(Z$4&gt;=$D69,Z$4&lt;=$E69),1,"")</f>
        <v/>
      </c>
      <c r="AA69" s="40" t="str">
        <f>IF(AND(AA$4&gt;=$D69,AA$4&lt;=$E69),1,"")</f>
        <v/>
      </c>
      <c r="AB69" s="40" t="str">
        <f>IF(AND(AB$4&gt;=$D69,AB$4&lt;=$E69),1,"")</f>
        <v/>
      </c>
      <c r="AC69" s="41" t="str">
        <f>IF(AND(AC$4&gt;=$D69,AC$4&lt;=$E69),1,"")</f>
        <v/>
      </c>
      <c r="AD69" s="40" t="str">
        <f>IF(AND(AD$4&gt;=$D69,AD$4&lt;=$E69),1,"")</f>
        <v/>
      </c>
      <c r="AE69" s="40" t="str">
        <f>IF(AND(AE$4&gt;=$D69,AE$4&lt;=$E69),1,"")</f>
        <v/>
      </c>
    </row>
    <row r="70" spans="1:29" x14ac:dyDescent="0.25">
      <c r="A70" s="49" t="s">
        <v>303</v>
      </c>
      <c r="B70" s="49"/>
      <c r="C70" s="49"/>
      <c r="D70" s="49"/>
      <c r="E70" s="49"/>
      <c r="I70" s="39"/>
      <c r="M70" s="39"/>
      <c r="S70" s="39"/>
      <c r="Y70" s="39"/>
      <c r="AC70" s="39"/>
    </row>
    <row r="71" spans="1:31" x14ac:dyDescent="0.25">
      <c r="A71" t="str">
        <f>Features!A64</f>
        <v>I1</v>
      </c>
      <c r="B71" t="str">
        <f>Features!C64</f>
        <v>Unified identity (Entra groups/roles)</v>
      </c>
      <c r="C71" t="str">
        <f>Features!E64</f>
        <v>MVP</v>
      </c>
      <c r="D71">
        <f>Features!I64</f>
        <v>5</v>
      </c>
      <c r="E71">
        <f>Features!J64</f>
        <v>8</v>
      </c>
      <c r="F71" s="40" t="str">
        <f>IF(AND(F$4&gt;=$D71,F$4&lt;=$E71),1,"")</f>
        <v/>
      </c>
      <c r="G71" s="40" t="str">
        <f>IF(AND(G$4&gt;=$D71,G$4&lt;=$E71),1,"")</f>
        <v/>
      </c>
      <c r="H71" s="40" t="str">
        <f>IF(AND(H$4&gt;=$D71,H$4&lt;=$E71),1,"")</f>
        <v/>
      </c>
      <c r="I71" s="41" t="str">
        <f>IF(AND(I$4&gt;=$D71,I$4&lt;=$E71),1,"")</f>
        <v/>
      </c>
      <c r="J71" s="40">
        <f>IF(AND(J$4&gt;=$D71,J$4&lt;=$E71),1,"")</f>
        <v>1</v>
      </c>
      <c r="K71" s="40">
        <f>IF(AND(K$4&gt;=$D71,K$4&lt;=$E71),1,"")</f>
        <v>1</v>
      </c>
      <c r="L71" s="40">
        <f>IF(AND(L$4&gt;=$D71,L$4&lt;=$E71),1,"")</f>
        <v>1</v>
      </c>
      <c r="M71" s="41">
        <f>IF(AND(M$4&gt;=$D71,M$4&lt;=$E71),1,"")</f>
        <v>1</v>
      </c>
      <c r="N71" s="40" t="str">
        <f>IF(AND(N$4&gt;=$D71,N$4&lt;=$E71),1,"")</f>
        <v/>
      </c>
      <c r="O71" s="40" t="str">
        <f>IF(AND(O$4&gt;=$D71,O$4&lt;=$E71),1,"")</f>
        <v/>
      </c>
      <c r="P71" s="40" t="str">
        <f>IF(AND(P$4&gt;=$D71,P$4&lt;=$E71),1,"")</f>
        <v/>
      </c>
      <c r="Q71" s="40" t="str">
        <f>IF(AND(Q$4&gt;=$D71,Q$4&lt;=$E71),1,"")</f>
        <v/>
      </c>
      <c r="R71" s="40" t="str">
        <f>IF(AND(R$4&gt;=$D71,R$4&lt;=$E71),1,"")</f>
        <v/>
      </c>
      <c r="S71" s="41" t="str">
        <f>IF(AND(S$4&gt;=$D71,S$4&lt;=$E71),1,"")</f>
        <v/>
      </c>
      <c r="T71" s="40" t="str">
        <f>IF(AND(T$4&gt;=$D71,T$4&lt;=$E71),1,"")</f>
        <v/>
      </c>
      <c r="U71" s="40" t="str">
        <f>IF(AND(U$4&gt;=$D71,U$4&lt;=$E71),1,"")</f>
        <v/>
      </c>
      <c r="V71" s="40" t="str">
        <f>IF(AND(V$4&gt;=$D71,V$4&lt;=$E71),1,"")</f>
        <v/>
      </c>
      <c r="W71" s="40" t="str">
        <f>IF(AND(W$4&gt;=$D71,W$4&lt;=$E71),1,"")</f>
        <v/>
      </c>
      <c r="X71" s="40" t="str">
        <f>IF(AND(X$4&gt;=$D71,X$4&lt;=$E71),1,"")</f>
        <v/>
      </c>
      <c r="Y71" s="41" t="str">
        <f>IF(AND(Y$4&gt;=$D71,Y$4&lt;=$E71),1,"")</f>
        <v/>
      </c>
      <c r="Z71" s="40" t="str">
        <f>IF(AND(Z$4&gt;=$D71,Z$4&lt;=$E71),1,"")</f>
        <v/>
      </c>
      <c r="AA71" s="40" t="str">
        <f>IF(AND(AA$4&gt;=$D71,AA$4&lt;=$E71),1,"")</f>
        <v/>
      </c>
      <c r="AB71" s="40" t="str">
        <f>IF(AND(AB$4&gt;=$D71,AB$4&lt;=$E71),1,"")</f>
        <v/>
      </c>
      <c r="AC71" s="41" t="str">
        <f>IF(AND(AC$4&gt;=$D71,AC$4&lt;=$E71),1,"")</f>
        <v/>
      </c>
      <c r="AD71" s="40" t="str">
        <f>IF(AND(AD$4&gt;=$D71,AD$4&lt;=$E71),1,"")</f>
        <v/>
      </c>
      <c r="AE71" s="40" t="str">
        <f>IF(AND(AE$4&gt;=$D71,AE$4&lt;=$E71),1,"")</f>
        <v/>
      </c>
    </row>
    <row r="72" spans="1:31" x14ac:dyDescent="0.25">
      <c r="A72" t="str">
        <f>Features!A65</f>
        <v>I2</v>
      </c>
      <c r="B72" t="str">
        <f>Features!C65</f>
        <v>Event and ID contract</v>
      </c>
      <c r="C72" t="str">
        <f>Features!E65</f>
        <v>R0</v>
      </c>
      <c r="D72">
        <f>Features!I65</f>
        <v>2</v>
      </c>
      <c r="E72">
        <f>Features!J65</f>
        <v>4</v>
      </c>
      <c r="F72" s="40" t="str">
        <f>IF(AND(F$4&gt;=$D72,F$4&lt;=$E72),1,"")</f>
        <v/>
      </c>
      <c r="G72" s="40">
        <f>IF(AND(G$4&gt;=$D72,G$4&lt;=$E72),1,"")</f>
        <v>1</v>
      </c>
      <c r="H72" s="40">
        <f>IF(AND(H$4&gt;=$D72,H$4&lt;=$E72),1,"")</f>
        <v>1</v>
      </c>
      <c r="I72" s="41">
        <f>IF(AND(I$4&gt;=$D72,I$4&lt;=$E72),1,"")</f>
        <v>1</v>
      </c>
      <c r="J72" s="40" t="str">
        <f>IF(AND(J$4&gt;=$D72,J$4&lt;=$E72),1,"")</f>
        <v/>
      </c>
      <c r="K72" s="40" t="str">
        <f>IF(AND(K$4&gt;=$D72,K$4&lt;=$E72),1,"")</f>
        <v/>
      </c>
      <c r="L72" s="40" t="str">
        <f>IF(AND(L$4&gt;=$D72,L$4&lt;=$E72),1,"")</f>
        <v/>
      </c>
      <c r="M72" s="41" t="str">
        <f>IF(AND(M$4&gt;=$D72,M$4&lt;=$E72),1,"")</f>
        <v/>
      </c>
      <c r="N72" s="40" t="str">
        <f>IF(AND(N$4&gt;=$D72,N$4&lt;=$E72),1,"")</f>
        <v/>
      </c>
      <c r="O72" s="40" t="str">
        <f>IF(AND(O$4&gt;=$D72,O$4&lt;=$E72),1,"")</f>
        <v/>
      </c>
      <c r="P72" s="40" t="str">
        <f>IF(AND(P$4&gt;=$D72,P$4&lt;=$E72),1,"")</f>
        <v/>
      </c>
      <c r="Q72" s="40" t="str">
        <f>IF(AND(Q$4&gt;=$D72,Q$4&lt;=$E72),1,"")</f>
        <v/>
      </c>
      <c r="R72" s="40" t="str">
        <f>IF(AND(R$4&gt;=$D72,R$4&lt;=$E72),1,"")</f>
        <v/>
      </c>
      <c r="S72" s="41" t="str">
        <f>IF(AND(S$4&gt;=$D72,S$4&lt;=$E72),1,"")</f>
        <v/>
      </c>
      <c r="T72" s="40" t="str">
        <f>IF(AND(T$4&gt;=$D72,T$4&lt;=$E72),1,"")</f>
        <v/>
      </c>
      <c r="U72" s="40" t="str">
        <f>IF(AND(U$4&gt;=$D72,U$4&lt;=$E72),1,"")</f>
        <v/>
      </c>
      <c r="V72" s="40" t="str">
        <f>IF(AND(V$4&gt;=$D72,V$4&lt;=$E72),1,"")</f>
        <v/>
      </c>
      <c r="W72" s="40" t="str">
        <f>IF(AND(W$4&gt;=$D72,W$4&lt;=$E72),1,"")</f>
        <v/>
      </c>
      <c r="X72" s="40" t="str">
        <f>IF(AND(X$4&gt;=$D72,X$4&lt;=$E72),1,"")</f>
        <v/>
      </c>
      <c r="Y72" s="41" t="str">
        <f>IF(AND(Y$4&gt;=$D72,Y$4&lt;=$E72),1,"")</f>
        <v/>
      </c>
      <c r="Z72" s="40" t="str">
        <f>IF(AND(Z$4&gt;=$D72,Z$4&lt;=$E72),1,"")</f>
        <v/>
      </c>
      <c r="AA72" s="40" t="str">
        <f>IF(AND(AA$4&gt;=$D72,AA$4&lt;=$E72),1,"")</f>
        <v/>
      </c>
      <c r="AB72" s="40" t="str">
        <f>IF(AND(AB$4&gt;=$D72,AB$4&lt;=$E72),1,"")</f>
        <v/>
      </c>
      <c r="AC72" s="41" t="str">
        <f>IF(AND(AC$4&gt;=$D72,AC$4&lt;=$E72),1,"")</f>
        <v/>
      </c>
      <c r="AD72" s="40" t="str">
        <f>IF(AND(AD$4&gt;=$D72,AD$4&lt;=$E72),1,"")</f>
        <v/>
      </c>
      <c r="AE72" s="40" t="str">
        <f>IF(AND(AE$4&gt;=$D72,AE$4&lt;=$E72),1,"")</f>
        <v/>
      </c>
    </row>
    <row r="73" spans="1:31" x14ac:dyDescent="0.25">
      <c r="A73" t="str">
        <f>Features!A66</f>
        <v>I3</v>
      </c>
      <c r="B73" t="str">
        <f>Features!C66</f>
        <v>End-to-end UAT</v>
      </c>
      <c r="C73" t="str">
        <f>Features!E66</f>
        <v>R3</v>
      </c>
      <c r="D73">
        <f>Features!I66</f>
        <v>18</v>
      </c>
      <c r="E73">
        <f>Features!J66</f>
        <v>20</v>
      </c>
      <c r="F73" s="40" t="str">
        <f>IF(AND(F$4&gt;=$D73,F$4&lt;=$E73),1,"")</f>
        <v/>
      </c>
      <c r="G73" s="40" t="str">
        <f>IF(AND(G$4&gt;=$D73,G$4&lt;=$E73),1,"")</f>
        <v/>
      </c>
      <c r="H73" s="40" t="str">
        <f>IF(AND(H$4&gt;=$D73,H$4&lt;=$E73),1,"")</f>
        <v/>
      </c>
      <c r="I73" s="41" t="str">
        <f>IF(AND(I$4&gt;=$D73,I$4&lt;=$E73),1,"")</f>
        <v/>
      </c>
      <c r="J73" s="40" t="str">
        <f>IF(AND(J$4&gt;=$D73,J$4&lt;=$E73),1,"")</f>
        <v/>
      </c>
      <c r="K73" s="40" t="str">
        <f>IF(AND(K$4&gt;=$D73,K$4&lt;=$E73),1,"")</f>
        <v/>
      </c>
      <c r="L73" s="40" t="str">
        <f>IF(AND(L$4&gt;=$D73,L$4&lt;=$E73),1,"")</f>
        <v/>
      </c>
      <c r="M73" s="41" t="str">
        <f>IF(AND(M$4&gt;=$D73,M$4&lt;=$E73),1,"")</f>
        <v/>
      </c>
      <c r="N73" s="40" t="str">
        <f>IF(AND(N$4&gt;=$D73,N$4&lt;=$E73),1,"")</f>
        <v/>
      </c>
      <c r="O73" s="40" t="str">
        <f>IF(AND(O$4&gt;=$D73,O$4&lt;=$E73),1,"")</f>
        <v/>
      </c>
      <c r="P73" s="40" t="str">
        <f>IF(AND(P$4&gt;=$D73,P$4&lt;=$E73),1,"")</f>
        <v/>
      </c>
      <c r="Q73" s="40" t="str">
        <f>IF(AND(Q$4&gt;=$D73,Q$4&lt;=$E73),1,"")</f>
        <v/>
      </c>
      <c r="R73" s="40" t="str">
        <f>IF(AND(R$4&gt;=$D73,R$4&lt;=$E73),1,"")</f>
        <v/>
      </c>
      <c r="S73" s="41" t="str">
        <f>IF(AND(S$4&gt;=$D73,S$4&lt;=$E73),1,"")</f>
        <v/>
      </c>
      <c r="T73" s="40" t="str">
        <f>IF(AND(T$4&gt;=$D73,T$4&lt;=$E73),1,"")</f>
        <v/>
      </c>
      <c r="U73" s="40" t="str">
        <f>IF(AND(U$4&gt;=$D73,U$4&lt;=$E73),1,"")</f>
        <v/>
      </c>
      <c r="V73" s="40" t="str">
        <f>IF(AND(V$4&gt;=$D73,V$4&lt;=$E73),1,"")</f>
        <v/>
      </c>
      <c r="W73" s="40">
        <f>IF(AND(W$4&gt;=$D73,W$4&lt;=$E73),1,"")</f>
        <v>1</v>
      </c>
      <c r="X73" s="40">
        <f>IF(AND(X$4&gt;=$D73,X$4&lt;=$E73),1,"")</f>
        <v>1</v>
      </c>
      <c r="Y73" s="41">
        <f>IF(AND(Y$4&gt;=$D73,Y$4&lt;=$E73),1,"")</f>
        <v>1</v>
      </c>
      <c r="Z73" s="40" t="str">
        <f>IF(AND(Z$4&gt;=$D73,Z$4&lt;=$E73),1,"")</f>
        <v/>
      </c>
      <c r="AA73" s="40" t="str">
        <f>IF(AND(AA$4&gt;=$D73,AA$4&lt;=$E73),1,"")</f>
        <v/>
      </c>
      <c r="AB73" s="40" t="str">
        <f>IF(AND(AB$4&gt;=$D73,AB$4&lt;=$E73),1,"")</f>
        <v/>
      </c>
      <c r="AC73" s="41" t="str">
        <f>IF(AND(AC$4&gt;=$D73,AC$4&lt;=$E73),1,"")</f>
        <v/>
      </c>
      <c r="AD73" s="40" t="str">
        <f>IF(AND(AD$4&gt;=$D73,AD$4&lt;=$E73),1,"")</f>
        <v/>
      </c>
      <c r="AE73" s="40" t="str">
        <f>IF(AND(AE$4&gt;=$D73,AE$4&lt;=$E73),1,"")</f>
        <v/>
      </c>
    </row>
    <row r="74" spans="1:31" x14ac:dyDescent="0.25">
      <c r="A74" t="str">
        <f>Features!A67</f>
        <v>I4</v>
      </c>
      <c r="B74" t="str">
        <f>Features!C67</f>
        <v>Internal pilot on one RICEFW</v>
      </c>
      <c r="C74" t="str">
        <f>Features!E67</f>
        <v>MVP</v>
      </c>
      <c r="D74">
        <f>Features!I67</f>
        <v>7</v>
      </c>
      <c r="E74">
        <f>Features!J67</f>
        <v>8</v>
      </c>
      <c r="F74" s="40" t="str">
        <f>IF(AND(F$4&gt;=$D74,F$4&lt;=$E74),1,"")</f>
        <v/>
      </c>
      <c r="G74" s="40" t="str">
        <f>IF(AND(G$4&gt;=$D74,G$4&lt;=$E74),1,"")</f>
        <v/>
      </c>
      <c r="H74" s="40" t="str">
        <f>IF(AND(H$4&gt;=$D74,H$4&lt;=$E74),1,"")</f>
        <v/>
      </c>
      <c r="I74" s="41" t="str">
        <f>IF(AND(I$4&gt;=$D74,I$4&lt;=$E74),1,"")</f>
        <v/>
      </c>
      <c r="J74" s="40" t="str">
        <f>IF(AND(J$4&gt;=$D74,J$4&lt;=$E74),1,"")</f>
        <v/>
      </c>
      <c r="K74" s="40" t="str">
        <f>IF(AND(K$4&gt;=$D74,K$4&lt;=$E74),1,"")</f>
        <v/>
      </c>
      <c r="L74" s="40">
        <f>IF(AND(L$4&gt;=$D74,L$4&lt;=$E74),1,"")</f>
        <v>1</v>
      </c>
      <c r="M74" s="41">
        <f>IF(AND(M$4&gt;=$D74,M$4&lt;=$E74),1,"")</f>
        <v>1</v>
      </c>
      <c r="N74" s="40" t="str">
        <f>IF(AND(N$4&gt;=$D74,N$4&lt;=$E74),1,"")</f>
        <v/>
      </c>
      <c r="O74" s="40" t="str">
        <f>IF(AND(O$4&gt;=$D74,O$4&lt;=$E74),1,"")</f>
        <v/>
      </c>
      <c r="P74" s="40" t="str">
        <f>IF(AND(P$4&gt;=$D74,P$4&lt;=$E74),1,"")</f>
        <v/>
      </c>
      <c r="Q74" s="40" t="str">
        <f>IF(AND(Q$4&gt;=$D74,Q$4&lt;=$E74),1,"")</f>
        <v/>
      </c>
      <c r="R74" s="40" t="str">
        <f>IF(AND(R$4&gt;=$D74,R$4&lt;=$E74),1,"")</f>
        <v/>
      </c>
      <c r="S74" s="41" t="str">
        <f>IF(AND(S$4&gt;=$D74,S$4&lt;=$E74),1,"")</f>
        <v/>
      </c>
      <c r="T74" s="40" t="str">
        <f>IF(AND(T$4&gt;=$D74,T$4&lt;=$E74),1,"")</f>
        <v/>
      </c>
      <c r="U74" s="40" t="str">
        <f>IF(AND(U$4&gt;=$D74,U$4&lt;=$E74),1,"")</f>
        <v/>
      </c>
      <c r="V74" s="40" t="str">
        <f>IF(AND(V$4&gt;=$D74,V$4&lt;=$E74),1,"")</f>
        <v/>
      </c>
      <c r="W74" s="40" t="str">
        <f>IF(AND(W$4&gt;=$D74,W$4&lt;=$E74),1,"")</f>
        <v/>
      </c>
      <c r="X74" s="40" t="str">
        <f>IF(AND(X$4&gt;=$D74,X$4&lt;=$E74),1,"")</f>
        <v/>
      </c>
      <c r="Y74" s="41" t="str">
        <f>IF(AND(Y$4&gt;=$D74,Y$4&lt;=$E74),1,"")</f>
        <v/>
      </c>
      <c r="Z74" s="40" t="str">
        <f>IF(AND(Z$4&gt;=$D74,Z$4&lt;=$E74),1,"")</f>
        <v/>
      </c>
      <c r="AA74" s="40" t="str">
        <f>IF(AND(AA$4&gt;=$D74,AA$4&lt;=$E74),1,"")</f>
        <v/>
      </c>
      <c r="AB74" s="40" t="str">
        <f>IF(AND(AB$4&gt;=$D74,AB$4&lt;=$E74),1,"")</f>
        <v/>
      </c>
      <c r="AC74" s="41" t="str">
        <f>IF(AND(AC$4&gt;=$D74,AC$4&lt;=$E74),1,"")</f>
        <v/>
      </c>
      <c r="AD74" s="40" t="str">
        <f>IF(AND(AD$4&gt;=$D74,AD$4&lt;=$E74),1,"")</f>
        <v/>
      </c>
      <c r="AE74" s="40" t="str">
        <f>IF(AND(AE$4&gt;=$D74,AE$4&lt;=$E74),1,"")</f>
        <v/>
      </c>
    </row>
    <row r="75" spans="1:31" x14ac:dyDescent="0.25">
      <c r="A75" t="str">
        <f>Features!A68</f>
        <v>I5</v>
      </c>
      <c r="B75" t="str">
        <f>Features!C68</f>
        <v>Wider program pilot</v>
      </c>
      <c r="C75" t="str">
        <f>Features!E68</f>
        <v>GA</v>
      </c>
      <c r="D75">
        <f>Features!I68</f>
        <v>21</v>
      </c>
      <c r="E75">
        <f>Features!J68</f>
        <v>23</v>
      </c>
      <c r="F75" s="40" t="str">
        <f>IF(AND(F$4&gt;=$D75,F$4&lt;=$E75),1,"")</f>
        <v/>
      </c>
      <c r="G75" s="40" t="str">
        <f>IF(AND(G$4&gt;=$D75,G$4&lt;=$E75),1,"")</f>
        <v/>
      </c>
      <c r="H75" s="40" t="str">
        <f>IF(AND(H$4&gt;=$D75,H$4&lt;=$E75),1,"")</f>
        <v/>
      </c>
      <c r="I75" s="41" t="str">
        <f>IF(AND(I$4&gt;=$D75,I$4&lt;=$E75),1,"")</f>
        <v/>
      </c>
      <c r="J75" s="40" t="str">
        <f>IF(AND(J$4&gt;=$D75,J$4&lt;=$E75),1,"")</f>
        <v/>
      </c>
      <c r="K75" s="40" t="str">
        <f>IF(AND(K$4&gt;=$D75,K$4&lt;=$E75),1,"")</f>
        <v/>
      </c>
      <c r="L75" s="40" t="str">
        <f>IF(AND(L$4&gt;=$D75,L$4&lt;=$E75),1,"")</f>
        <v/>
      </c>
      <c r="M75" s="41" t="str">
        <f>IF(AND(M$4&gt;=$D75,M$4&lt;=$E75),1,"")</f>
        <v/>
      </c>
      <c r="N75" s="40" t="str">
        <f>IF(AND(N$4&gt;=$D75,N$4&lt;=$E75),1,"")</f>
        <v/>
      </c>
      <c r="O75" s="40" t="str">
        <f>IF(AND(O$4&gt;=$D75,O$4&lt;=$E75),1,"")</f>
        <v/>
      </c>
      <c r="P75" s="40" t="str">
        <f>IF(AND(P$4&gt;=$D75,P$4&lt;=$E75),1,"")</f>
        <v/>
      </c>
      <c r="Q75" s="40" t="str">
        <f>IF(AND(Q$4&gt;=$D75,Q$4&lt;=$E75),1,"")</f>
        <v/>
      </c>
      <c r="R75" s="40" t="str">
        <f>IF(AND(R$4&gt;=$D75,R$4&lt;=$E75),1,"")</f>
        <v/>
      </c>
      <c r="S75" s="41" t="str">
        <f>IF(AND(S$4&gt;=$D75,S$4&lt;=$E75),1,"")</f>
        <v/>
      </c>
      <c r="T75" s="40" t="str">
        <f>IF(AND(T$4&gt;=$D75,T$4&lt;=$E75),1,"")</f>
        <v/>
      </c>
      <c r="U75" s="40" t="str">
        <f>IF(AND(U$4&gt;=$D75,U$4&lt;=$E75),1,"")</f>
        <v/>
      </c>
      <c r="V75" s="40" t="str">
        <f>IF(AND(V$4&gt;=$D75,V$4&lt;=$E75),1,"")</f>
        <v/>
      </c>
      <c r="W75" s="40" t="str">
        <f>IF(AND(W$4&gt;=$D75,W$4&lt;=$E75),1,"")</f>
        <v/>
      </c>
      <c r="X75" s="40" t="str">
        <f>IF(AND(X$4&gt;=$D75,X$4&lt;=$E75),1,"")</f>
        <v/>
      </c>
      <c r="Y75" s="41" t="str">
        <f>IF(AND(Y$4&gt;=$D75,Y$4&lt;=$E75),1,"")</f>
        <v/>
      </c>
      <c r="Z75" s="40">
        <f>IF(AND(Z$4&gt;=$D75,Z$4&lt;=$E75),1,"")</f>
        <v>1</v>
      </c>
      <c r="AA75" s="40">
        <f>IF(AND(AA$4&gt;=$D75,AA$4&lt;=$E75),1,"")</f>
        <v>1</v>
      </c>
      <c r="AB75" s="40">
        <f>IF(AND(AB$4&gt;=$D75,AB$4&lt;=$E75),1,"")</f>
        <v>1</v>
      </c>
      <c r="AC75" s="41" t="str">
        <f>IF(AND(AC$4&gt;=$D75,AC$4&lt;=$E75),1,"")</f>
        <v/>
      </c>
      <c r="AD75" s="40" t="str">
        <f>IF(AND(AD$4&gt;=$D75,AD$4&lt;=$E75),1,"")</f>
        <v/>
      </c>
      <c r="AE75" s="40" t="str">
        <f>IF(AND(AE$4&gt;=$D75,AE$4&lt;=$E75),1,"")</f>
        <v/>
      </c>
    </row>
    <row r="76" spans="1:29" x14ac:dyDescent="0.25">
      <c r="A76" s="50" t="s">
        <v>320</v>
      </c>
      <c r="B76" s="50"/>
      <c r="C76" s="50"/>
      <c r="D76" s="50"/>
      <c r="E76" s="50"/>
      <c r="I76" s="39"/>
      <c r="M76" s="39"/>
      <c r="S76" s="39"/>
      <c r="Y76" s="39"/>
      <c r="AC76" s="39"/>
    </row>
    <row r="77" spans="1:31" x14ac:dyDescent="0.25">
      <c r="A77" t="str">
        <f>Features!A69</f>
        <v>J1</v>
      </c>
      <c r="B77" t="str">
        <f>Features!C69</f>
        <v>Threat model + security design review</v>
      </c>
      <c r="C77" t="str">
        <f>Features!E69</f>
        <v>R0</v>
      </c>
      <c r="D77">
        <f>Features!I69</f>
        <v>2</v>
      </c>
      <c r="E77">
        <f>Features!J69</f>
        <v>3</v>
      </c>
      <c r="F77" s="40" t="str">
        <f>IF(AND(F$4&gt;=$D77,F$4&lt;=$E77),1,"")</f>
        <v/>
      </c>
      <c r="G77" s="40">
        <f>IF(AND(G$4&gt;=$D77,G$4&lt;=$E77),1,"")</f>
        <v>1</v>
      </c>
      <c r="H77" s="40">
        <f>IF(AND(H$4&gt;=$D77,H$4&lt;=$E77),1,"")</f>
        <v>1</v>
      </c>
      <c r="I77" s="41" t="str">
        <f>IF(AND(I$4&gt;=$D77,I$4&lt;=$E77),1,"")</f>
        <v/>
      </c>
      <c r="J77" s="40" t="str">
        <f>IF(AND(J$4&gt;=$D77,J$4&lt;=$E77),1,"")</f>
        <v/>
      </c>
      <c r="K77" s="40" t="str">
        <f>IF(AND(K$4&gt;=$D77,K$4&lt;=$E77),1,"")</f>
        <v/>
      </c>
      <c r="L77" s="40" t="str">
        <f>IF(AND(L$4&gt;=$D77,L$4&lt;=$E77),1,"")</f>
        <v/>
      </c>
      <c r="M77" s="41" t="str">
        <f>IF(AND(M$4&gt;=$D77,M$4&lt;=$E77),1,"")</f>
        <v/>
      </c>
      <c r="N77" s="40" t="str">
        <f>IF(AND(N$4&gt;=$D77,N$4&lt;=$E77),1,"")</f>
        <v/>
      </c>
      <c r="O77" s="40" t="str">
        <f>IF(AND(O$4&gt;=$D77,O$4&lt;=$E77),1,"")</f>
        <v/>
      </c>
      <c r="P77" s="40" t="str">
        <f>IF(AND(P$4&gt;=$D77,P$4&lt;=$E77),1,"")</f>
        <v/>
      </c>
      <c r="Q77" s="40" t="str">
        <f>IF(AND(Q$4&gt;=$D77,Q$4&lt;=$E77),1,"")</f>
        <v/>
      </c>
      <c r="R77" s="40" t="str">
        <f>IF(AND(R$4&gt;=$D77,R$4&lt;=$E77),1,"")</f>
        <v/>
      </c>
      <c r="S77" s="41" t="str">
        <f>IF(AND(S$4&gt;=$D77,S$4&lt;=$E77),1,"")</f>
        <v/>
      </c>
      <c r="T77" s="40" t="str">
        <f>IF(AND(T$4&gt;=$D77,T$4&lt;=$E77),1,"")</f>
        <v/>
      </c>
      <c r="U77" s="40" t="str">
        <f>IF(AND(U$4&gt;=$D77,U$4&lt;=$E77),1,"")</f>
        <v/>
      </c>
      <c r="V77" s="40" t="str">
        <f>IF(AND(V$4&gt;=$D77,V$4&lt;=$E77),1,"")</f>
        <v/>
      </c>
      <c r="W77" s="40" t="str">
        <f>IF(AND(W$4&gt;=$D77,W$4&lt;=$E77),1,"")</f>
        <v/>
      </c>
      <c r="X77" s="40" t="str">
        <f>IF(AND(X$4&gt;=$D77,X$4&lt;=$E77),1,"")</f>
        <v/>
      </c>
      <c r="Y77" s="41" t="str">
        <f>IF(AND(Y$4&gt;=$D77,Y$4&lt;=$E77),1,"")</f>
        <v/>
      </c>
      <c r="Z77" s="40" t="str">
        <f>IF(AND(Z$4&gt;=$D77,Z$4&lt;=$E77),1,"")</f>
        <v/>
      </c>
      <c r="AA77" s="40" t="str">
        <f>IF(AND(AA$4&gt;=$D77,AA$4&lt;=$E77),1,"")</f>
        <v/>
      </c>
      <c r="AB77" s="40" t="str">
        <f>IF(AND(AB$4&gt;=$D77,AB$4&lt;=$E77),1,"")</f>
        <v/>
      </c>
      <c r="AC77" s="41" t="str">
        <f>IF(AND(AC$4&gt;=$D77,AC$4&lt;=$E77),1,"")</f>
        <v/>
      </c>
      <c r="AD77" s="40" t="str">
        <f>IF(AND(AD$4&gt;=$D77,AD$4&lt;=$E77),1,"")</f>
        <v/>
      </c>
      <c r="AE77" s="40" t="str">
        <f>IF(AND(AE$4&gt;=$D77,AE$4&lt;=$E77),1,"")</f>
        <v/>
      </c>
    </row>
    <row r="78" spans="1:31" x14ac:dyDescent="0.25">
      <c r="A78" t="str">
        <f>Features!A70</f>
        <v>J2</v>
      </c>
      <c r="B78" t="str">
        <f>Features!C70</f>
        <v>Documentation + training</v>
      </c>
      <c r="C78" t="str">
        <f>Features!E70</f>
        <v>GA</v>
      </c>
      <c r="D78">
        <f>Features!I70</f>
        <v>18</v>
      </c>
      <c r="E78">
        <f>Features!J70</f>
        <v>23</v>
      </c>
      <c r="F78" s="40" t="str">
        <f>IF(AND(F$4&gt;=$D78,F$4&lt;=$E78),1,"")</f>
        <v/>
      </c>
      <c r="G78" s="40" t="str">
        <f>IF(AND(G$4&gt;=$D78,G$4&lt;=$E78),1,"")</f>
        <v/>
      </c>
      <c r="H78" s="40" t="str">
        <f>IF(AND(H$4&gt;=$D78,H$4&lt;=$E78),1,"")</f>
        <v/>
      </c>
      <c r="I78" s="41" t="str">
        <f>IF(AND(I$4&gt;=$D78,I$4&lt;=$E78),1,"")</f>
        <v/>
      </c>
      <c r="J78" s="40" t="str">
        <f>IF(AND(J$4&gt;=$D78,J$4&lt;=$E78),1,"")</f>
        <v/>
      </c>
      <c r="K78" s="40" t="str">
        <f>IF(AND(K$4&gt;=$D78,K$4&lt;=$E78),1,"")</f>
        <v/>
      </c>
      <c r="L78" s="40" t="str">
        <f>IF(AND(L$4&gt;=$D78,L$4&lt;=$E78),1,"")</f>
        <v/>
      </c>
      <c r="M78" s="41" t="str">
        <f>IF(AND(M$4&gt;=$D78,M$4&lt;=$E78),1,"")</f>
        <v/>
      </c>
      <c r="N78" s="40" t="str">
        <f>IF(AND(N$4&gt;=$D78,N$4&lt;=$E78),1,"")</f>
        <v/>
      </c>
      <c r="O78" s="40" t="str">
        <f>IF(AND(O$4&gt;=$D78,O$4&lt;=$E78),1,"")</f>
        <v/>
      </c>
      <c r="P78" s="40" t="str">
        <f>IF(AND(P$4&gt;=$D78,P$4&lt;=$E78),1,"")</f>
        <v/>
      </c>
      <c r="Q78" s="40" t="str">
        <f>IF(AND(Q$4&gt;=$D78,Q$4&lt;=$E78),1,"")</f>
        <v/>
      </c>
      <c r="R78" s="40" t="str">
        <f>IF(AND(R$4&gt;=$D78,R$4&lt;=$E78),1,"")</f>
        <v/>
      </c>
      <c r="S78" s="41" t="str">
        <f>IF(AND(S$4&gt;=$D78,S$4&lt;=$E78),1,"")</f>
        <v/>
      </c>
      <c r="T78" s="40" t="str">
        <f>IF(AND(T$4&gt;=$D78,T$4&lt;=$E78),1,"")</f>
        <v/>
      </c>
      <c r="U78" s="40" t="str">
        <f>IF(AND(U$4&gt;=$D78,U$4&lt;=$E78),1,"")</f>
        <v/>
      </c>
      <c r="V78" s="40" t="str">
        <f>IF(AND(V$4&gt;=$D78,V$4&lt;=$E78),1,"")</f>
        <v/>
      </c>
      <c r="W78" s="40">
        <f>IF(AND(W$4&gt;=$D78,W$4&lt;=$E78),1,"")</f>
        <v>1</v>
      </c>
      <c r="X78" s="40">
        <f>IF(AND(X$4&gt;=$D78,X$4&lt;=$E78),1,"")</f>
        <v>1</v>
      </c>
      <c r="Y78" s="41">
        <f>IF(AND(Y$4&gt;=$D78,Y$4&lt;=$E78),1,"")</f>
        <v>1</v>
      </c>
      <c r="Z78" s="40">
        <f>IF(AND(Z$4&gt;=$D78,Z$4&lt;=$E78),1,"")</f>
        <v>1</v>
      </c>
      <c r="AA78" s="40">
        <f>IF(AND(AA$4&gt;=$D78,AA$4&lt;=$E78),1,"")</f>
        <v>1</v>
      </c>
      <c r="AB78" s="40">
        <f>IF(AND(AB$4&gt;=$D78,AB$4&lt;=$E78),1,"")</f>
        <v>1</v>
      </c>
      <c r="AC78" s="41" t="str">
        <f>IF(AND(AC$4&gt;=$D78,AC$4&lt;=$E78),1,"")</f>
        <v/>
      </c>
      <c r="AD78" s="40" t="str">
        <f>IF(AND(AD$4&gt;=$D78,AD$4&lt;=$E78),1,"")</f>
        <v/>
      </c>
      <c r="AE78" s="40" t="str">
        <f>IF(AND(AE$4&gt;=$D78,AE$4&lt;=$E78),1,"")</f>
        <v/>
      </c>
    </row>
    <row r="79" spans="1:31" x14ac:dyDescent="0.25">
      <c r="A79" t="str">
        <f>Features!A71</f>
        <v>J3</v>
      </c>
      <c r="B79" t="str">
        <f>Features!C71</f>
        <v>GA readiness + go-live</v>
      </c>
      <c r="C79" t="str">
        <f>Features!E71</f>
        <v>GA</v>
      </c>
      <c r="D79">
        <f>Features!I71</f>
        <v>23</v>
      </c>
      <c r="E79">
        <f>Features!J71</f>
        <v>24</v>
      </c>
      <c r="F79" s="40" t="str">
        <f>IF(AND(F$4&gt;=$D79,F$4&lt;=$E79),1,"")</f>
        <v/>
      </c>
      <c r="G79" s="40" t="str">
        <f>IF(AND(G$4&gt;=$D79,G$4&lt;=$E79),1,"")</f>
        <v/>
      </c>
      <c r="H79" s="40" t="str">
        <f>IF(AND(H$4&gt;=$D79,H$4&lt;=$E79),1,"")</f>
        <v/>
      </c>
      <c r="I79" s="41" t="str">
        <f>IF(AND(I$4&gt;=$D79,I$4&lt;=$E79),1,"")</f>
        <v/>
      </c>
      <c r="J79" s="40" t="str">
        <f>IF(AND(J$4&gt;=$D79,J$4&lt;=$E79),1,"")</f>
        <v/>
      </c>
      <c r="K79" s="40" t="str">
        <f>IF(AND(K$4&gt;=$D79,K$4&lt;=$E79),1,"")</f>
        <v/>
      </c>
      <c r="L79" s="40" t="str">
        <f>IF(AND(L$4&gt;=$D79,L$4&lt;=$E79),1,"")</f>
        <v/>
      </c>
      <c r="M79" s="41" t="str">
        <f>IF(AND(M$4&gt;=$D79,M$4&lt;=$E79),1,"")</f>
        <v/>
      </c>
      <c r="N79" s="40" t="str">
        <f>IF(AND(N$4&gt;=$D79,N$4&lt;=$E79),1,"")</f>
        <v/>
      </c>
      <c r="O79" s="40" t="str">
        <f>IF(AND(O$4&gt;=$D79,O$4&lt;=$E79),1,"")</f>
        <v/>
      </c>
      <c r="P79" s="40" t="str">
        <f>IF(AND(P$4&gt;=$D79,P$4&lt;=$E79),1,"")</f>
        <v/>
      </c>
      <c r="Q79" s="40" t="str">
        <f>IF(AND(Q$4&gt;=$D79,Q$4&lt;=$E79),1,"")</f>
        <v/>
      </c>
      <c r="R79" s="40" t="str">
        <f>IF(AND(R$4&gt;=$D79,R$4&lt;=$E79),1,"")</f>
        <v/>
      </c>
      <c r="S79" s="41" t="str">
        <f>IF(AND(S$4&gt;=$D79,S$4&lt;=$E79),1,"")</f>
        <v/>
      </c>
      <c r="T79" s="40" t="str">
        <f>IF(AND(T$4&gt;=$D79,T$4&lt;=$E79),1,"")</f>
        <v/>
      </c>
      <c r="U79" s="40" t="str">
        <f>IF(AND(U$4&gt;=$D79,U$4&lt;=$E79),1,"")</f>
        <v/>
      </c>
      <c r="V79" s="40" t="str">
        <f>IF(AND(V$4&gt;=$D79,V$4&lt;=$E79),1,"")</f>
        <v/>
      </c>
      <c r="W79" s="40" t="str">
        <f>IF(AND(W$4&gt;=$D79,W$4&lt;=$E79),1,"")</f>
        <v/>
      </c>
      <c r="X79" s="40" t="str">
        <f>IF(AND(X$4&gt;=$D79,X$4&lt;=$E79),1,"")</f>
        <v/>
      </c>
      <c r="Y79" s="41" t="str">
        <f>IF(AND(Y$4&gt;=$D79,Y$4&lt;=$E79),1,"")</f>
        <v/>
      </c>
      <c r="Z79" s="40" t="str">
        <f>IF(AND(Z$4&gt;=$D79,Z$4&lt;=$E79),1,"")</f>
        <v/>
      </c>
      <c r="AA79" s="40" t="str">
        <f>IF(AND(AA$4&gt;=$D79,AA$4&lt;=$E79),1,"")</f>
        <v/>
      </c>
      <c r="AB79" s="40">
        <f>IF(AND(AB$4&gt;=$D79,AB$4&lt;=$E79),1,"")</f>
        <v>1</v>
      </c>
      <c r="AC79" s="41">
        <f>IF(AND(AC$4&gt;=$D79,AC$4&lt;=$E79),1,"")</f>
        <v>1</v>
      </c>
      <c r="AD79" s="40" t="str">
        <f>IF(AND(AD$4&gt;=$D79,AD$4&lt;=$E79),1,"")</f>
        <v/>
      </c>
      <c r="AE79" s="40" t="str">
        <f>IF(AND(AE$4&gt;=$D79,AE$4&lt;=$E79),1,"")</f>
        <v/>
      </c>
    </row>
    <row r="80" spans="1:31" x14ac:dyDescent="0.25">
      <c r="A80" t="str">
        <f>Features!A72</f>
        <v>J4</v>
      </c>
      <c r="B80" t="str">
        <f>Features!C72</f>
        <v>Security review + penetration test</v>
      </c>
      <c r="C80" t="str">
        <f>Features!E72</f>
        <v>GA</v>
      </c>
      <c r="D80">
        <f>Features!I72</f>
        <v>21</v>
      </c>
      <c r="E80">
        <f>Features!J72</f>
        <v>23</v>
      </c>
      <c r="F80" s="40" t="str">
        <f>IF(AND(F$4&gt;=$D80,F$4&lt;=$E80),1,"")</f>
        <v/>
      </c>
      <c r="G80" s="40" t="str">
        <f>IF(AND(G$4&gt;=$D80,G$4&lt;=$E80),1,"")</f>
        <v/>
      </c>
      <c r="H80" s="40" t="str">
        <f>IF(AND(H$4&gt;=$D80,H$4&lt;=$E80),1,"")</f>
        <v/>
      </c>
      <c r="I80" s="41" t="str">
        <f>IF(AND(I$4&gt;=$D80,I$4&lt;=$E80),1,"")</f>
        <v/>
      </c>
      <c r="J80" s="40" t="str">
        <f>IF(AND(J$4&gt;=$D80,J$4&lt;=$E80),1,"")</f>
        <v/>
      </c>
      <c r="K80" s="40" t="str">
        <f>IF(AND(K$4&gt;=$D80,K$4&lt;=$E80),1,"")</f>
        <v/>
      </c>
      <c r="L80" s="40" t="str">
        <f>IF(AND(L$4&gt;=$D80,L$4&lt;=$E80),1,"")</f>
        <v/>
      </c>
      <c r="M80" s="41" t="str">
        <f>IF(AND(M$4&gt;=$D80,M$4&lt;=$E80),1,"")</f>
        <v/>
      </c>
      <c r="N80" s="40" t="str">
        <f>IF(AND(N$4&gt;=$D80,N$4&lt;=$E80),1,"")</f>
        <v/>
      </c>
      <c r="O80" s="40" t="str">
        <f>IF(AND(O$4&gt;=$D80,O$4&lt;=$E80),1,"")</f>
        <v/>
      </c>
      <c r="P80" s="40" t="str">
        <f>IF(AND(P$4&gt;=$D80,P$4&lt;=$E80),1,"")</f>
        <v/>
      </c>
      <c r="Q80" s="40" t="str">
        <f>IF(AND(Q$4&gt;=$D80,Q$4&lt;=$E80),1,"")</f>
        <v/>
      </c>
      <c r="R80" s="40" t="str">
        <f>IF(AND(R$4&gt;=$D80,R$4&lt;=$E80),1,"")</f>
        <v/>
      </c>
      <c r="S80" s="41" t="str">
        <f>IF(AND(S$4&gt;=$D80,S$4&lt;=$E80),1,"")</f>
        <v/>
      </c>
      <c r="T80" s="40" t="str">
        <f>IF(AND(T$4&gt;=$D80,T$4&lt;=$E80),1,"")</f>
        <v/>
      </c>
      <c r="U80" s="40" t="str">
        <f>IF(AND(U$4&gt;=$D80,U$4&lt;=$E80),1,"")</f>
        <v/>
      </c>
      <c r="V80" s="40" t="str">
        <f>IF(AND(V$4&gt;=$D80,V$4&lt;=$E80),1,"")</f>
        <v/>
      </c>
      <c r="W80" s="40" t="str">
        <f>IF(AND(W$4&gt;=$D80,W$4&lt;=$E80),1,"")</f>
        <v/>
      </c>
      <c r="X80" s="40" t="str">
        <f>IF(AND(X$4&gt;=$D80,X$4&lt;=$E80),1,"")</f>
        <v/>
      </c>
      <c r="Y80" s="41" t="str">
        <f>IF(AND(Y$4&gt;=$D80,Y$4&lt;=$E80),1,"")</f>
        <v/>
      </c>
      <c r="Z80" s="40">
        <f>IF(AND(Z$4&gt;=$D80,Z$4&lt;=$E80),1,"")</f>
        <v>1</v>
      </c>
      <c r="AA80" s="40">
        <f>IF(AND(AA$4&gt;=$D80,AA$4&lt;=$E80),1,"")</f>
        <v>1</v>
      </c>
      <c r="AB80" s="40">
        <f>IF(AND(AB$4&gt;=$D80,AB$4&lt;=$E80),1,"")</f>
        <v>1</v>
      </c>
      <c r="AC80" s="41" t="str">
        <f>IF(AND(AC$4&gt;=$D80,AC$4&lt;=$E80),1,"")</f>
        <v/>
      </c>
      <c r="AD80" s="40" t="str">
        <f>IF(AND(AD$4&gt;=$D80,AD$4&lt;=$E80),1,"")</f>
        <v/>
      </c>
      <c r="AE80" s="40" t="str">
        <f>IF(AND(AE$4&gt;=$D80,AE$4&lt;=$E80),1,"")</f>
        <v/>
      </c>
    </row>
  </sheetData>
  <mergeCells count="10">
    <mergeCell ref="A7:E7"/>
    <mergeCell ref="A20:E20"/>
    <mergeCell ref="A29:E29"/>
    <mergeCell ref="A34:E34"/>
    <mergeCell ref="A42:E42"/>
    <mergeCell ref="A48:E48"/>
    <mergeCell ref="A53:E53"/>
    <mergeCell ref="A62:E62"/>
    <mergeCell ref="A70:E70"/>
    <mergeCell ref="A76:E76"/>
  </mergeCells>
  <conditionalFormatting sqref="F8:AE19">
    <cfRule type="cellIs" dxfId="0" priority="1" operator="equal">
      <formula>1</formula>
    </cfRule>
  </conditionalFormatting>
  <conditionalFormatting sqref="F21:AE28">
    <cfRule type="cellIs" dxfId="1" priority="2" operator="equal">
      <formula>1</formula>
    </cfRule>
  </conditionalFormatting>
  <conditionalFormatting sqref="F30:AE33">
    <cfRule type="cellIs" dxfId="2" priority="3" operator="equal">
      <formula>1</formula>
    </cfRule>
  </conditionalFormatting>
  <conditionalFormatting sqref="F35:AE41">
    <cfRule type="cellIs" dxfId="3" priority="4" operator="equal">
      <formula>1</formula>
    </cfRule>
  </conditionalFormatting>
  <conditionalFormatting sqref="F43:AE47">
    <cfRule type="cellIs" dxfId="4" priority="5" operator="equal">
      <formula>1</formula>
    </cfRule>
  </conditionalFormatting>
  <conditionalFormatting sqref="F49:AE52">
    <cfRule type="cellIs" dxfId="5" priority="6" operator="equal">
      <formula>1</formula>
    </cfRule>
  </conditionalFormatting>
  <conditionalFormatting sqref="F54:AE61">
    <cfRule type="cellIs" dxfId="6" priority="7" operator="equal">
      <formula>1</formula>
    </cfRule>
  </conditionalFormatting>
  <conditionalFormatting sqref="F63:AE69">
    <cfRule type="cellIs" dxfId="7" priority="8" operator="equal">
      <formula>1</formula>
    </cfRule>
  </conditionalFormatting>
  <conditionalFormatting sqref="F71:AE75">
    <cfRule type="cellIs" dxfId="8" priority="9" operator="equal">
      <formula>1</formula>
    </cfRule>
  </conditionalFormatting>
  <conditionalFormatting sqref="F77:AE80">
    <cfRule type="cellIs" dxfId="9" priority="10" operator="equal">
      <formula>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1" customWidth="1"/>
    <col min="4" max="4" width="80" customWidth="1"/>
    <col min="5" max="5" width="52" customWidth="1"/>
    <col min="9" max="10" width="13" customWidth="1"/>
    <col min="11" max="11" width="11" customWidth="1"/>
    <col min="12" max="12" width="10" customWidth="1"/>
  </cols>
  <sheetData>
    <row r="1" spans="1:12" x14ac:dyDescent="0.25">
      <c r="A1" s="8" t="s">
        <v>359</v>
      </c>
      <c r="B1" s="8" t="s">
        <v>360</v>
      </c>
      <c r="C1" s="8" t="s">
        <v>361</v>
      </c>
      <c r="D1" s="8" t="s">
        <v>362</v>
      </c>
      <c r="E1" s="8" t="s">
        <v>363</v>
      </c>
      <c r="F1" s="8" t="s">
        <v>10</v>
      </c>
      <c r="G1" s="8" t="s">
        <v>76</v>
      </c>
      <c r="H1" s="8" t="s">
        <v>77</v>
      </c>
      <c r="I1" s="8" t="s">
        <v>78</v>
      </c>
      <c r="J1" s="8" t="s">
        <v>79</v>
      </c>
      <c r="K1" s="8" t="s">
        <v>80</v>
      </c>
      <c r="L1" s="8" t="s">
        <v>82</v>
      </c>
    </row>
    <row r="2" spans="1:12" x14ac:dyDescent="0.25">
      <c r="A2" s="26" t="s">
        <v>364</v>
      </c>
      <c r="B2" s="9" t="s">
        <v>365</v>
      </c>
      <c r="C2" s="9" t="s">
        <v>366</v>
      </c>
      <c r="D2" s="13" t="s">
        <v>367</v>
      </c>
      <c r="E2" s="13" t="s">
        <v>368</v>
      </c>
      <c r="F2" s="9" t="s">
        <v>15</v>
      </c>
      <c r="G2" s="9">
        <v>3</v>
      </c>
      <c r="H2" s="9">
        <v>6</v>
      </c>
      <c r="I2" s="14">
        <f>Summary!$C$4+7*(G2-1)</f>
        <v>46335</v>
      </c>
      <c r="J2" s="14">
        <f>Summary!$C$4+7*(H2-1)+4</f>
        <v>46360</v>
      </c>
      <c r="K2" s="9">
        <v>3</v>
      </c>
      <c r="L2" s="9" t="s">
        <v>91</v>
      </c>
    </row>
    <row r="3" spans="1:12" x14ac:dyDescent="0.25">
      <c r="A3" s="26" t="s">
        <v>364</v>
      </c>
      <c r="B3" s="9" t="s">
        <v>369</v>
      </c>
      <c r="C3" s="9" t="s">
        <v>366</v>
      </c>
      <c r="D3" s="13" t="s">
        <v>370</v>
      </c>
      <c r="E3" s="13" t="s">
        <v>371</v>
      </c>
      <c r="F3" s="9" t="s">
        <v>15</v>
      </c>
      <c r="G3" s="9">
        <v>3</v>
      </c>
      <c r="H3" s="9">
        <v>6</v>
      </c>
      <c r="I3" s="14">
        <f>Summary!$C$4+7*(G3-1)</f>
        <v>46335</v>
      </c>
      <c r="J3" s="14">
        <f>Summary!$C$4+7*(H3-1)+4</f>
        <v>46360</v>
      </c>
      <c r="K3" s="9">
        <v>1</v>
      </c>
      <c r="L3" s="9" t="s">
        <v>91</v>
      </c>
    </row>
    <row r="4" spans="1:12" x14ac:dyDescent="0.25">
      <c r="A4" s="26" t="s">
        <v>364</v>
      </c>
      <c r="B4" s="9" t="s">
        <v>372</v>
      </c>
      <c r="C4" s="9" t="s">
        <v>373</v>
      </c>
      <c r="D4" s="13" t="s">
        <v>374</v>
      </c>
      <c r="E4" s="13" t="s">
        <v>375</v>
      </c>
      <c r="F4" s="9" t="s">
        <v>17</v>
      </c>
      <c r="G4" s="9">
        <v>9</v>
      </c>
      <c r="H4" s="9">
        <v>11</v>
      </c>
      <c r="I4" s="14">
        <f>Summary!$C$4+7*(G4-1)</f>
        <v>46377</v>
      </c>
      <c r="J4" s="14">
        <f>Summary!$C$4+7*(H4-1)+4</f>
        <v>46395</v>
      </c>
      <c r="K4" s="9">
        <v>2</v>
      </c>
      <c r="L4" s="9" t="s">
        <v>91</v>
      </c>
    </row>
    <row r="5" spans="1:12" x14ac:dyDescent="0.25">
      <c r="A5" s="26" t="s">
        <v>364</v>
      </c>
      <c r="B5" s="9" t="s">
        <v>376</v>
      </c>
      <c r="C5" s="9" t="s">
        <v>366</v>
      </c>
      <c r="D5" s="13" t="s">
        <v>377</v>
      </c>
      <c r="E5" s="13" t="s">
        <v>378</v>
      </c>
      <c r="F5" s="9" t="s">
        <v>17</v>
      </c>
      <c r="G5" s="9">
        <v>9</v>
      </c>
      <c r="H5" s="9">
        <v>12</v>
      </c>
      <c r="I5" s="14">
        <f>Summary!$C$4+7*(G5-1)</f>
        <v>46377</v>
      </c>
      <c r="J5" s="14">
        <f>Summary!$C$4+7*(H5-1)+4</f>
        <v>46402</v>
      </c>
      <c r="K5" s="9">
        <v>3</v>
      </c>
      <c r="L5" s="9" t="s">
        <v>91</v>
      </c>
    </row>
    <row r="6" spans="1:12" x14ac:dyDescent="0.25">
      <c r="A6" s="26" t="s">
        <v>364</v>
      </c>
      <c r="B6" s="9" t="s">
        <v>379</v>
      </c>
      <c r="C6" s="9" t="s">
        <v>366</v>
      </c>
      <c r="D6" s="13" t="s">
        <v>380</v>
      </c>
      <c r="E6" s="13" t="s">
        <v>381</v>
      </c>
      <c r="F6" s="9" t="s">
        <v>17</v>
      </c>
      <c r="G6" s="9">
        <v>11</v>
      </c>
      <c r="H6" s="9">
        <v>14</v>
      </c>
      <c r="I6" s="14">
        <f>Summary!$C$4+7*(G6-1)</f>
        <v>46391</v>
      </c>
      <c r="J6" s="14">
        <f>Summary!$C$4+7*(H6-1)+4</f>
        <v>46416</v>
      </c>
      <c r="K6" s="9">
        <v>3</v>
      </c>
      <c r="L6" s="9" t="s">
        <v>91</v>
      </c>
    </row>
    <row r="7" spans="1:12" x14ac:dyDescent="0.25">
      <c r="A7" s="26" t="s">
        <v>364</v>
      </c>
      <c r="B7" s="9" t="s">
        <v>382</v>
      </c>
      <c r="C7" s="9" t="s">
        <v>365</v>
      </c>
      <c r="D7" s="13" t="s">
        <v>383</v>
      </c>
      <c r="E7" s="13" t="s">
        <v>384</v>
      </c>
      <c r="F7" s="9" t="s">
        <v>17</v>
      </c>
      <c r="G7" s="9">
        <v>7</v>
      </c>
      <c r="H7" s="9">
        <v>11</v>
      </c>
      <c r="I7" s="14">
        <f>Summary!$C$4+7*(G7-1)</f>
        <v>46363</v>
      </c>
      <c r="J7" s="14">
        <f>Summary!$C$4+7*(H7-1)+4</f>
        <v>46395</v>
      </c>
      <c r="K7" s="9">
        <v>3</v>
      </c>
      <c r="L7" s="9" t="s">
        <v>91</v>
      </c>
    </row>
    <row r="8" spans="1:12" x14ac:dyDescent="0.25">
      <c r="A8" s="26" t="s">
        <v>364</v>
      </c>
      <c r="B8" s="9" t="s">
        <v>385</v>
      </c>
      <c r="C8" s="9" t="s">
        <v>386</v>
      </c>
      <c r="D8" s="13" t="s">
        <v>387</v>
      </c>
      <c r="E8" s="13" t="s">
        <v>388</v>
      </c>
      <c r="F8" s="9" t="s">
        <v>17</v>
      </c>
      <c r="G8" s="9">
        <v>10</v>
      </c>
      <c r="H8" s="9">
        <v>12</v>
      </c>
      <c r="I8" s="14">
        <f>Summary!$C$4+7*(G8-1)</f>
        <v>46384</v>
      </c>
      <c r="J8" s="14">
        <f>Summary!$C$4+7*(H8-1)+4</f>
        <v>46402</v>
      </c>
      <c r="K8" s="9">
        <v>2</v>
      </c>
      <c r="L8" s="9" t="s">
        <v>91</v>
      </c>
    </row>
    <row r="9" spans="1:12" x14ac:dyDescent="0.25">
      <c r="A9" s="26" t="s">
        <v>364</v>
      </c>
      <c r="B9" s="9" t="s">
        <v>389</v>
      </c>
      <c r="C9" s="9" t="s">
        <v>390</v>
      </c>
      <c r="D9" s="13" t="s">
        <v>391</v>
      </c>
      <c r="E9" s="13" t="s">
        <v>392</v>
      </c>
      <c r="F9" s="9" t="s">
        <v>17</v>
      </c>
      <c r="G9" s="9">
        <v>7</v>
      </c>
      <c r="H9" s="9">
        <v>11</v>
      </c>
      <c r="I9" s="14">
        <f>Summary!$C$4+7*(G9-1)</f>
        <v>46363</v>
      </c>
      <c r="J9" s="14">
        <f>Summary!$C$4+7*(H9-1)+4</f>
        <v>46395</v>
      </c>
      <c r="K9" s="9">
        <v>4</v>
      </c>
      <c r="L9" s="9" t="s">
        <v>91</v>
      </c>
    </row>
    <row r="10" spans="1:12" x14ac:dyDescent="0.25">
      <c r="A10" s="26" t="s">
        <v>364</v>
      </c>
      <c r="B10" s="9" t="s">
        <v>393</v>
      </c>
      <c r="C10" s="9" t="s">
        <v>393</v>
      </c>
      <c r="D10" s="13" t="s">
        <v>394</v>
      </c>
      <c r="E10" s="13" t="s">
        <v>395</v>
      </c>
      <c r="F10" s="9" t="s">
        <v>19</v>
      </c>
      <c r="G10" s="9">
        <v>14</v>
      </c>
      <c r="H10" s="9">
        <v>18</v>
      </c>
      <c r="I10" s="14">
        <f>Summary!$C$4+7*(G10-1)</f>
        <v>46412</v>
      </c>
      <c r="J10" s="14">
        <f>Summary!$C$4+7*(H10-1)+4</f>
        <v>46444</v>
      </c>
      <c r="K10" s="9">
        <v>4</v>
      </c>
      <c r="L10" s="9" t="s">
        <v>91</v>
      </c>
    </row>
    <row r="11" spans="1:12" x14ac:dyDescent="0.25">
      <c r="A11" s="27" t="s">
        <v>396</v>
      </c>
      <c r="B11" s="9" t="s">
        <v>365</v>
      </c>
      <c r="C11" s="9" t="s">
        <v>365</v>
      </c>
      <c r="D11" s="13" t="s">
        <v>397</v>
      </c>
      <c r="E11" s="13" t="s">
        <v>398</v>
      </c>
      <c r="F11" s="9" t="s">
        <v>17</v>
      </c>
      <c r="G11" s="9">
        <v>6</v>
      </c>
      <c r="H11" s="9">
        <v>9</v>
      </c>
      <c r="I11" s="14">
        <f>Summary!$C$4+7*(G11-1)</f>
        <v>46356</v>
      </c>
      <c r="J11" s="14">
        <f>Summary!$C$4+7*(H11-1)+4</f>
        <v>46381</v>
      </c>
      <c r="K11" s="9">
        <v>3</v>
      </c>
      <c r="L11" s="9" t="s">
        <v>91</v>
      </c>
    </row>
    <row r="12" spans="1:12" x14ac:dyDescent="0.25">
      <c r="A12" s="27" t="s">
        <v>396</v>
      </c>
      <c r="B12" s="9" t="s">
        <v>372</v>
      </c>
      <c r="C12" s="9" t="s">
        <v>373</v>
      </c>
      <c r="D12" s="13" t="s">
        <v>399</v>
      </c>
      <c r="E12" s="13" t="s">
        <v>400</v>
      </c>
      <c r="F12" s="9" t="s">
        <v>17</v>
      </c>
      <c r="G12" s="9">
        <v>8</v>
      </c>
      <c r="H12" s="9">
        <v>10</v>
      </c>
      <c r="I12" s="14">
        <f>Summary!$C$4+7*(G12-1)</f>
        <v>46370</v>
      </c>
      <c r="J12" s="14">
        <f>Summary!$C$4+7*(H12-1)+4</f>
        <v>46388</v>
      </c>
      <c r="K12" s="9">
        <v>2</v>
      </c>
      <c r="L12" s="9" t="s">
        <v>91</v>
      </c>
    </row>
    <row r="13" spans="1:12" x14ac:dyDescent="0.25">
      <c r="A13" s="27" t="s">
        <v>396</v>
      </c>
      <c r="B13" s="9" t="s">
        <v>401</v>
      </c>
      <c r="C13" s="9" t="s">
        <v>366</v>
      </c>
      <c r="D13" s="13" t="s">
        <v>402</v>
      </c>
      <c r="E13" s="13" t="s">
        <v>403</v>
      </c>
      <c r="F13" s="9" t="s">
        <v>17</v>
      </c>
      <c r="G13" s="9">
        <v>9</v>
      </c>
      <c r="H13" s="9">
        <v>12</v>
      </c>
      <c r="I13" s="14">
        <f>Summary!$C$4+7*(G13-1)</f>
        <v>46377</v>
      </c>
      <c r="J13" s="14">
        <f>Summary!$C$4+7*(H13-1)+4</f>
        <v>46402</v>
      </c>
      <c r="K13" s="9">
        <v>3</v>
      </c>
      <c r="L13" s="9" t="s">
        <v>91</v>
      </c>
    </row>
    <row r="14" spans="1:12" x14ac:dyDescent="0.25">
      <c r="A14" s="27" t="s">
        <v>396</v>
      </c>
      <c r="B14" s="9" t="s">
        <v>404</v>
      </c>
      <c r="C14" s="9" t="s">
        <v>386</v>
      </c>
      <c r="D14" s="13" t="s">
        <v>405</v>
      </c>
      <c r="E14" s="13" t="s">
        <v>406</v>
      </c>
      <c r="F14" s="9" t="s">
        <v>17</v>
      </c>
      <c r="G14" s="9">
        <v>12</v>
      </c>
      <c r="H14" s="9">
        <v>14</v>
      </c>
      <c r="I14" s="14">
        <f>Summary!$C$4+7*(G14-1)</f>
        <v>46398</v>
      </c>
      <c r="J14" s="14">
        <f>Summary!$C$4+7*(H14-1)+4</f>
        <v>46416</v>
      </c>
      <c r="K14" s="9">
        <v>2</v>
      </c>
      <c r="L14" s="9" t="s">
        <v>91</v>
      </c>
    </row>
    <row r="15" spans="1:12" x14ac:dyDescent="0.25">
      <c r="A15" s="27" t="s">
        <v>396</v>
      </c>
      <c r="B15" s="9" t="s">
        <v>407</v>
      </c>
      <c r="C15" s="9" t="s">
        <v>386</v>
      </c>
      <c r="D15" s="13" t="s">
        <v>408</v>
      </c>
      <c r="E15" s="13" t="s">
        <v>409</v>
      </c>
      <c r="F15" s="9" t="s">
        <v>17</v>
      </c>
      <c r="G15" s="9">
        <v>10</v>
      </c>
      <c r="H15" s="9">
        <v>11</v>
      </c>
      <c r="I15" s="14">
        <f>Summary!$C$4+7*(G15-1)</f>
        <v>46384</v>
      </c>
      <c r="J15" s="14">
        <f>Summary!$C$4+7*(H15-1)+4</f>
        <v>46395</v>
      </c>
      <c r="K15" s="9">
        <v>1</v>
      </c>
      <c r="L15" s="9" t="s">
        <v>91</v>
      </c>
    </row>
    <row r="16" spans="1:12" x14ac:dyDescent="0.25">
      <c r="A16" s="27" t="s">
        <v>396</v>
      </c>
      <c r="B16" s="9" t="s">
        <v>389</v>
      </c>
      <c r="C16" s="9" t="s">
        <v>390</v>
      </c>
      <c r="D16" s="13" t="s">
        <v>410</v>
      </c>
      <c r="E16" s="13" t="s">
        <v>411</v>
      </c>
      <c r="F16" s="9" t="s">
        <v>17</v>
      </c>
      <c r="G16" s="9">
        <v>8</v>
      </c>
      <c r="H16" s="9">
        <v>11</v>
      </c>
      <c r="I16" s="14">
        <f>Summary!$C$4+7*(G16-1)</f>
        <v>46370</v>
      </c>
      <c r="J16" s="14">
        <f>Summary!$C$4+7*(H16-1)+4</f>
        <v>46395</v>
      </c>
      <c r="K16" s="9">
        <v>3</v>
      </c>
      <c r="L16" s="9" t="s">
        <v>91</v>
      </c>
    </row>
    <row r="17" spans="1:12" x14ac:dyDescent="0.25">
      <c r="A17" s="27" t="s">
        <v>396</v>
      </c>
      <c r="B17" s="9" t="s">
        <v>393</v>
      </c>
      <c r="C17" s="9" t="s">
        <v>393</v>
      </c>
      <c r="D17" s="13" t="s">
        <v>412</v>
      </c>
      <c r="E17" s="13" t="s">
        <v>413</v>
      </c>
      <c r="F17" s="9" t="s">
        <v>19</v>
      </c>
      <c r="G17" s="9">
        <v>15</v>
      </c>
      <c r="H17" s="9">
        <v>19</v>
      </c>
      <c r="I17" s="14">
        <f>Summary!$C$4+7*(G17-1)</f>
        <v>46419</v>
      </c>
      <c r="J17" s="14">
        <f>Summary!$C$4+7*(H17-1)+4</f>
        <v>46451</v>
      </c>
      <c r="K17" s="9">
        <v>4</v>
      </c>
      <c r="L17" s="9" t="s">
        <v>91</v>
      </c>
    </row>
    <row r="18" spans="1:12" x14ac:dyDescent="0.25">
      <c r="A18" s="22" t="s">
        <v>414</v>
      </c>
      <c r="B18" s="9" t="s">
        <v>415</v>
      </c>
      <c r="C18" s="9" t="s">
        <v>386</v>
      </c>
      <c r="D18" s="13" t="s">
        <v>416</v>
      </c>
      <c r="E18" s="13" t="s">
        <v>417</v>
      </c>
      <c r="F18" s="9" t="s">
        <v>15</v>
      </c>
      <c r="G18" s="9">
        <v>5</v>
      </c>
      <c r="H18" s="9">
        <v>8</v>
      </c>
      <c r="I18" s="14">
        <f>Summary!$C$4+7*(G18-1)</f>
        <v>46349</v>
      </c>
      <c r="J18" s="14">
        <f>Summary!$C$4+7*(H18-1)+4</f>
        <v>46374</v>
      </c>
      <c r="K18" s="9">
        <v>3</v>
      </c>
      <c r="L18" s="9" t="s">
        <v>91</v>
      </c>
    </row>
    <row r="19" spans="1:12" x14ac:dyDescent="0.25">
      <c r="A19" s="22" t="s">
        <v>414</v>
      </c>
      <c r="B19" s="9" t="s">
        <v>415</v>
      </c>
      <c r="C19" s="9" t="s">
        <v>386</v>
      </c>
      <c r="D19" s="13" t="s">
        <v>418</v>
      </c>
      <c r="E19" s="13" t="s">
        <v>419</v>
      </c>
      <c r="F19" s="9" t="s">
        <v>17</v>
      </c>
      <c r="G19" s="9">
        <v>9</v>
      </c>
      <c r="H19" s="9">
        <v>14</v>
      </c>
      <c r="I19" s="14">
        <f>Summary!$C$4+7*(G19-1)</f>
        <v>46377</v>
      </c>
      <c r="J19" s="14">
        <f>Summary!$C$4+7*(H19-1)+4</f>
        <v>46416</v>
      </c>
      <c r="K19" s="9">
        <v>4</v>
      </c>
      <c r="L19" s="9" t="s">
        <v>91</v>
      </c>
    </row>
    <row r="20" spans="1:12" x14ac:dyDescent="0.25">
      <c r="A20" s="22" t="s">
        <v>414</v>
      </c>
      <c r="B20" s="9" t="s">
        <v>420</v>
      </c>
      <c r="C20" s="9" t="s">
        <v>386</v>
      </c>
      <c r="D20" s="13" t="s">
        <v>421</v>
      </c>
      <c r="E20" s="13" t="s">
        <v>422</v>
      </c>
      <c r="F20" s="9" t="s">
        <v>17</v>
      </c>
      <c r="G20" s="9">
        <v>9</v>
      </c>
      <c r="H20" s="9">
        <v>14</v>
      </c>
      <c r="I20" s="14">
        <f>Summary!$C$4+7*(G20-1)</f>
        <v>46377</v>
      </c>
      <c r="J20" s="14">
        <f>Summary!$C$4+7*(H20-1)+4</f>
        <v>46416</v>
      </c>
      <c r="K20" s="9">
        <v>6</v>
      </c>
      <c r="L20" s="9" t="s">
        <v>91</v>
      </c>
    </row>
    <row r="21" spans="1:12" x14ac:dyDescent="0.25">
      <c r="A21" s="28" t="s">
        <v>423</v>
      </c>
      <c r="B21" s="9" t="s">
        <v>424</v>
      </c>
      <c r="C21" s="9" t="s">
        <v>425</v>
      </c>
      <c r="D21" s="13" t="s">
        <v>426</v>
      </c>
      <c r="E21" s="13" t="s">
        <v>427</v>
      </c>
      <c r="F21" s="9" t="s">
        <v>13</v>
      </c>
      <c r="G21" s="9">
        <v>2</v>
      </c>
      <c r="H21" s="9">
        <v>4</v>
      </c>
      <c r="I21" s="14">
        <f>Summary!$C$4+7*(G21-1)</f>
        <v>46328</v>
      </c>
      <c r="J21" s="14">
        <f>Summary!$C$4+7*(H21-1)+4</f>
        <v>46346</v>
      </c>
      <c r="K21" s="9">
        <v>2</v>
      </c>
      <c r="L21" s="9" t="s">
        <v>91</v>
      </c>
    </row>
  </sheetData>
  <autoFilter ref="A1:L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78" customWidth="1"/>
    <col min="4" max="4" width="16" customWidth="1"/>
    <col min="7" max="8" width="13" customWidth="1"/>
    <col min="9" max="9" width="16" customWidth="1"/>
  </cols>
  <sheetData>
    <row r="1" spans="1:9" x14ac:dyDescent="0.25">
      <c r="A1" s="8" t="s">
        <v>428</v>
      </c>
      <c r="B1" s="8" t="s">
        <v>429</v>
      </c>
      <c r="C1" s="8" t="s">
        <v>430</v>
      </c>
      <c r="D1" s="8" t="s">
        <v>26</v>
      </c>
      <c r="E1" s="8" t="s">
        <v>76</v>
      </c>
      <c r="F1" s="8" t="s">
        <v>77</v>
      </c>
      <c r="G1" s="8" t="s">
        <v>78</v>
      </c>
      <c r="H1" s="8" t="s">
        <v>79</v>
      </c>
      <c r="I1" s="8" t="s">
        <v>343</v>
      </c>
    </row>
    <row r="2" spans="1:9" x14ac:dyDescent="0.25">
      <c r="A2" s="9" t="s">
        <v>431</v>
      </c>
      <c r="B2" s="9" t="s">
        <v>432</v>
      </c>
      <c r="C2" s="13" t="s">
        <v>433</v>
      </c>
      <c r="D2" s="9" t="s">
        <v>434</v>
      </c>
      <c r="E2" s="9">
        <v>1</v>
      </c>
      <c r="F2" s="9">
        <v>3</v>
      </c>
      <c r="G2" s="14">
        <f>Summary!$C$4+7*(E2-1)</f>
        <v>46321</v>
      </c>
      <c r="H2" s="14">
        <f>Summary!$C$4+7*(F2-1)+4</f>
        <v>46339</v>
      </c>
      <c r="I2" s="9" t="s">
        <v>435</v>
      </c>
    </row>
    <row r="3" spans="1:9" x14ac:dyDescent="0.25">
      <c r="A3" s="9" t="s">
        <v>436</v>
      </c>
      <c r="B3" s="9" t="s">
        <v>437</v>
      </c>
      <c r="C3" s="13" t="s">
        <v>438</v>
      </c>
      <c r="D3" s="9" t="s">
        <v>439</v>
      </c>
      <c r="E3" s="9">
        <v>1</v>
      </c>
      <c r="F3" s="9">
        <v>4</v>
      </c>
      <c r="G3" s="14">
        <f>Summary!$C$4+7*(E3-1)</f>
        <v>46321</v>
      </c>
      <c r="H3" s="14">
        <f>Summary!$C$4+7*(F3-1)+4</f>
        <v>46346</v>
      </c>
      <c r="I3" s="9" t="s">
        <v>435</v>
      </c>
    </row>
    <row r="4" spans="1:9" x14ac:dyDescent="0.25">
      <c r="A4" s="9" t="s">
        <v>440</v>
      </c>
      <c r="B4" s="9" t="s">
        <v>441</v>
      </c>
      <c r="C4" s="13" t="s">
        <v>442</v>
      </c>
      <c r="D4" s="9" t="s">
        <v>443</v>
      </c>
      <c r="E4" s="9">
        <v>3</v>
      </c>
      <c r="F4" s="9">
        <v>4</v>
      </c>
      <c r="G4" s="14">
        <f>Summary!$C$4+7*(E4-1)</f>
        <v>46335</v>
      </c>
      <c r="H4" s="14">
        <f>Summary!$C$4+7*(F4-1)+4</f>
        <v>46346</v>
      </c>
      <c r="I4" s="9" t="s">
        <v>435</v>
      </c>
    </row>
    <row r="5" spans="1:9" x14ac:dyDescent="0.25">
      <c r="A5" s="9" t="s">
        <v>444</v>
      </c>
      <c r="B5" s="9" t="s">
        <v>445</v>
      </c>
      <c r="C5" s="13" t="s">
        <v>446</v>
      </c>
      <c r="D5" s="9" t="s">
        <v>447</v>
      </c>
      <c r="E5" s="9">
        <v>4</v>
      </c>
      <c r="F5" s="9">
        <v>4</v>
      </c>
      <c r="G5" s="14">
        <f>Summary!$C$4+7*(E5-1)</f>
        <v>46342</v>
      </c>
      <c r="H5" s="14">
        <f>Summary!$C$4+7*(F5-1)+4</f>
        <v>46346</v>
      </c>
      <c r="I5" s="9" t="s">
        <v>435</v>
      </c>
    </row>
    <row r="6" spans="1:9" x14ac:dyDescent="0.25">
      <c r="A6" s="9" t="s">
        <v>448</v>
      </c>
      <c r="B6" s="9" t="s">
        <v>449</v>
      </c>
      <c r="C6" s="13" t="s">
        <v>450</v>
      </c>
      <c r="D6" s="9" t="s">
        <v>451</v>
      </c>
      <c r="E6" s="9">
        <v>4</v>
      </c>
      <c r="F6" s="9">
        <v>7</v>
      </c>
      <c r="G6" s="14">
        <f>Summary!$C$4+7*(E6-1)</f>
        <v>46342</v>
      </c>
      <c r="H6" s="14">
        <f>Summary!$C$4+7*(F6-1)+4</f>
        <v>46367</v>
      </c>
      <c r="I6" s="9" t="s">
        <v>452</v>
      </c>
    </row>
    <row r="7" spans="1:9" x14ac:dyDescent="0.25">
      <c r="A7" s="9" t="s">
        <v>453</v>
      </c>
      <c r="B7" s="9" t="s">
        <v>454</v>
      </c>
      <c r="C7" s="13" t="s">
        <v>455</v>
      </c>
      <c r="D7" s="9" t="s">
        <v>456</v>
      </c>
      <c r="E7" s="9">
        <v>5</v>
      </c>
      <c r="F7" s="9">
        <v>8</v>
      </c>
      <c r="G7" s="14">
        <f>Summary!$C$4+7*(E7-1)</f>
        <v>46349</v>
      </c>
      <c r="H7" s="14">
        <f>Summary!$C$4+7*(F7-1)+4</f>
        <v>46374</v>
      </c>
      <c r="I7" s="9" t="s">
        <v>452</v>
      </c>
    </row>
    <row r="8" spans="1:9" x14ac:dyDescent="0.25">
      <c r="A8" s="9" t="s">
        <v>457</v>
      </c>
      <c r="B8" s="9" t="s">
        <v>458</v>
      </c>
      <c r="C8" s="13" t="s">
        <v>459</v>
      </c>
      <c r="D8" s="9" t="s">
        <v>111</v>
      </c>
      <c r="E8" s="9">
        <v>6</v>
      </c>
      <c r="F8" s="9">
        <v>8</v>
      </c>
      <c r="G8" s="14">
        <f>Summary!$C$4+7*(E8-1)</f>
        <v>46356</v>
      </c>
      <c r="H8" s="14">
        <f>Summary!$C$4+7*(F8-1)+4</f>
        <v>46374</v>
      </c>
      <c r="I8" s="9" t="s">
        <v>452</v>
      </c>
    </row>
    <row r="9" spans="1:9" x14ac:dyDescent="0.25">
      <c r="A9" s="9" t="s">
        <v>460</v>
      </c>
      <c r="B9" s="9" t="s">
        <v>461</v>
      </c>
      <c r="C9" s="13" t="s">
        <v>462</v>
      </c>
      <c r="D9" s="9" t="s">
        <v>463</v>
      </c>
      <c r="E9" s="9">
        <v>7</v>
      </c>
      <c r="F9" s="9">
        <v>8</v>
      </c>
      <c r="G9" s="14">
        <f>Summary!$C$4+7*(E9-1)</f>
        <v>46363</v>
      </c>
      <c r="H9" s="14">
        <f>Summary!$C$4+7*(F9-1)+4</f>
        <v>46374</v>
      </c>
      <c r="I9" s="9" t="s">
        <v>464</v>
      </c>
    </row>
    <row r="10" spans="1:9" x14ac:dyDescent="0.25">
      <c r="A10" s="9" t="s">
        <v>465</v>
      </c>
      <c r="B10" s="9" t="s">
        <v>466</v>
      </c>
      <c r="C10" s="13" t="s">
        <v>467</v>
      </c>
      <c r="D10" s="9" t="s">
        <v>468</v>
      </c>
      <c r="E10" s="9">
        <v>6</v>
      </c>
      <c r="F10" s="9">
        <v>11</v>
      </c>
      <c r="G10" s="14">
        <f>Summary!$C$4+7*(E10-1)</f>
        <v>46356</v>
      </c>
      <c r="H10" s="14">
        <f>Summary!$C$4+7*(F10-1)+4</f>
        <v>46395</v>
      </c>
      <c r="I10" s="9" t="s">
        <v>452</v>
      </c>
    </row>
    <row r="11" spans="1:9" x14ac:dyDescent="0.25">
      <c r="A11" s="9" t="s">
        <v>469</v>
      </c>
      <c r="B11" s="9" t="s">
        <v>470</v>
      </c>
      <c r="C11" s="13" t="s">
        <v>471</v>
      </c>
      <c r="D11" s="9" t="s">
        <v>472</v>
      </c>
      <c r="E11" s="9">
        <v>8</v>
      </c>
      <c r="F11" s="9">
        <v>14</v>
      </c>
      <c r="G11" s="14">
        <f>Summary!$C$4+7*(E11-1)</f>
        <v>46370</v>
      </c>
      <c r="H11" s="14">
        <f>Summary!$C$4+7*(F11-1)+4</f>
        <v>46416</v>
      </c>
      <c r="I11" s="9" t="s">
        <v>464</v>
      </c>
    </row>
    <row r="12" spans="1:9" x14ac:dyDescent="0.25">
      <c r="A12" s="9" t="s">
        <v>473</v>
      </c>
      <c r="B12" s="9" t="s">
        <v>120</v>
      </c>
      <c r="C12" s="13" t="s">
        <v>474</v>
      </c>
      <c r="D12" s="9" t="s">
        <v>119</v>
      </c>
      <c r="E12" s="9">
        <v>16</v>
      </c>
      <c r="F12" s="9">
        <v>20</v>
      </c>
      <c r="G12" s="14">
        <f>Summary!$C$4+7*(E12-1)</f>
        <v>46426</v>
      </c>
      <c r="H12" s="14">
        <f>Summary!$C$4+7*(F12-1)+4</f>
        <v>46458</v>
      </c>
      <c r="I12" s="9" t="s">
        <v>464</v>
      </c>
    </row>
    <row r="13" spans="1:9" x14ac:dyDescent="0.25">
      <c r="A13" s="9" t="s">
        <v>475</v>
      </c>
      <c r="B13" s="9" t="s">
        <v>476</v>
      </c>
      <c r="C13" s="13" t="s">
        <v>477</v>
      </c>
      <c r="D13" s="9" t="s">
        <v>478</v>
      </c>
      <c r="E13" s="9">
        <v>20</v>
      </c>
      <c r="F13" s="9">
        <v>24</v>
      </c>
      <c r="G13" s="14">
        <f>Summary!$C$4+7*(E13-1)</f>
        <v>46454</v>
      </c>
      <c r="H13" s="14">
        <f>Summary!$C$4+7*(F13-1)+4</f>
        <v>46486</v>
      </c>
      <c r="I13" s="9" t="s">
        <v>479</v>
      </c>
    </row>
    <row r="15" spans="2:2" x14ac:dyDescent="0.25">
      <c r="B15" s="55" t="s">
        <v>480</v>
      </c>
    </row>
    <row r="16" spans="2:7" x14ac:dyDescent="0.25">
      <c r="B16" s="9" t="s">
        <v>481</v>
      </c>
      <c r="C16" s="9" t="s">
        <v>482</v>
      </c>
      <c r="G16" s="10">
        <f>Summary!$C$4+7*(4-1)+4</f>
        <v>46346</v>
      </c>
    </row>
    <row r="17" spans="2:7" x14ac:dyDescent="0.25">
      <c r="B17" s="9" t="s">
        <v>483</v>
      </c>
      <c r="C17" s="9" t="s">
        <v>484</v>
      </c>
      <c r="G17" s="10">
        <f>Summary!$C$4+7*(8-1)+4</f>
        <v>46374</v>
      </c>
    </row>
    <row r="18" spans="2:7" x14ac:dyDescent="0.25">
      <c r="B18" s="9" t="s">
        <v>485</v>
      </c>
      <c r="C18" s="9" t="s">
        <v>486</v>
      </c>
      <c r="G18" s="10">
        <f>Summary!$C$4+7*(11-1)+4</f>
        <v>46395</v>
      </c>
    </row>
    <row r="19" spans="2:7" x14ac:dyDescent="0.25">
      <c r="B19" s="9" t="s">
        <v>487</v>
      </c>
      <c r="C19" s="9" t="s">
        <v>488</v>
      </c>
      <c r="G19" s="10">
        <f>Summary!$C$4+7*(14-1)+4</f>
        <v>46416</v>
      </c>
    </row>
    <row r="20" spans="2:7" x14ac:dyDescent="0.25">
      <c r="B20" s="9" t="s">
        <v>489</v>
      </c>
      <c r="C20" s="9" t="s">
        <v>490</v>
      </c>
      <c r="G20" s="10">
        <f>Summary!$C$4+7*(20-1)+4</f>
        <v>46458</v>
      </c>
    </row>
    <row r="21" spans="2:7" x14ac:dyDescent="0.25">
      <c r="B21" s="9" t="s">
        <v>491</v>
      </c>
      <c r="C21" s="9" t="s">
        <v>492</v>
      </c>
      <c r="G21" s="10">
        <f>Summary!$C$4+7*(24-1)+4</f>
        <v>46486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6" width="11" customWidth="1"/>
    <col min="7" max="7" width="12" customWidth="1"/>
  </cols>
  <sheetData>
    <row r="1" spans="1:7" x14ac:dyDescent="0.25">
      <c r="A1" s="8" t="s">
        <v>70</v>
      </c>
      <c r="B1" s="8" t="s">
        <v>13</v>
      </c>
      <c r="C1" s="8" t="s">
        <v>15</v>
      </c>
      <c r="D1" s="8" t="s">
        <v>17</v>
      </c>
      <c r="E1" s="8" t="s">
        <v>19</v>
      </c>
      <c r="F1" s="8" t="s">
        <v>21</v>
      </c>
      <c r="G1" s="8" t="s">
        <v>493</v>
      </c>
    </row>
    <row r="2" spans="1:7" x14ac:dyDescent="0.25">
      <c r="A2" s="9" t="s">
        <v>85</v>
      </c>
      <c r="B2" s="9">
        <f>SUMIFS(Features!$M$2:$M$72,Features!$B$2:$B$72,$A2,Features!$E$2:$E$72,B$1)</f>
        <v>10</v>
      </c>
      <c r="C2" s="9">
        <f>SUMIFS(Features!$M$2:$M$72,Features!$B$2:$B$72,$A2,Features!$E$2:$E$72,C$1)</f>
        <v>10</v>
      </c>
      <c r="D2" s="9">
        <f>SUMIFS(Features!$M$2:$M$72,Features!$B$2:$B$72,$A2,Features!$E$2:$E$72,D$1)</f>
        <v>0</v>
      </c>
      <c r="E2" s="9">
        <f>SUMIFS(Features!$M$2:$M$72,Features!$B$2:$B$72,$A2,Features!$E$2:$E$72,E$1)</f>
        <v>4</v>
      </c>
      <c r="F2" s="9">
        <f>SUMIFS(Features!$M$2:$M$72,Features!$B$2:$B$72,$A2,Features!$E$2:$E$72,F$1)</f>
        <v>7</v>
      </c>
      <c r="G2" s="9">
        <f>SUM(B2:F2)</f>
        <v>31</v>
      </c>
    </row>
    <row r="3" spans="1:7" x14ac:dyDescent="0.25">
      <c r="A3" s="9" t="s">
        <v>129</v>
      </c>
      <c r="B3" s="9">
        <f>SUMIFS(Features!$M$2:$M$72,Features!$B$2:$B$72,$A3,Features!$E$2:$E$72,B$1)</f>
        <v>0</v>
      </c>
      <c r="C3" s="9">
        <f>SUMIFS(Features!$M$2:$M$72,Features!$B$2:$B$72,$A3,Features!$E$2:$E$72,C$1)</f>
        <v>7</v>
      </c>
      <c r="D3" s="9">
        <f>SUMIFS(Features!$M$2:$M$72,Features!$B$2:$B$72,$A3,Features!$E$2:$E$72,D$1)</f>
        <v>10</v>
      </c>
      <c r="E3" s="9">
        <f>SUMIFS(Features!$M$2:$M$72,Features!$B$2:$B$72,$A3,Features!$E$2:$E$72,E$1)</f>
        <v>1</v>
      </c>
      <c r="F3" s="9">
        <f>SUMIFS(Features!$M$2:$M$72,Features!$B$2:$B$72,$A3,Features!$E$2:$E$72,F$1)</f>
        <v>0</v>
      </c>
      <c r="G3" s="9">
        <f>SUM(B3:F3)</f>
        <v>18</v>
      </c>
    </row>
    <row r="4" spans="1:7" x14ac:dyDescent="0.25">
      <c r="A4" s="9" t="s">
        <v>162</v>
      </c>
      <c r="B4" s="9">
        <f>SUMIFS(Features!$M$2:$M$72,Features!$B$2:$B$72,$A4,Features!$E$2:$E$72,B$1)</f>
        <v>0</v>
      </c>
      <c r="C4" s="9">
        <f>SUMIFS(Features!$M$2:$M$72,Features!$B$2:$B$72,$A4,Features!$E$2:$E$72,C$1)</f>
        <v>3</v>
      </c>
      <c r="D4" s="9">
        <f>SUMIFS(Features!$M$2:$M$72,Features!$B$2:$B$72,$A4,Features!$E$2:$E$72,D$1)</f>
        <v>5</v>
      </c>
      <c r="E4" s="9">
        <f>SUMIFS(Features!$M$2:$M$72,Features!$B$2:$B$72,$A4,Features!$E$2:$E$72,E$1)</f>
        <v>0</v>
      </c>
      <c r="F4" s="9">
        <f>SUMIFS(Features!$M$2:$M$72,Features!$B$2:$B$72,$A4,Features!$E$2:$E$72,F$1)</f>
        <v>0</v>
      </c>
      <c r="G4" s="9">
        <f>SUM(B4:F4)</f>
        <v>8</v>
      </c>
    </row>
    <row r="5" spans="1:7" x14ac:dyDescent="0.25">
      <c r="A5" s="9" t="s">
        <v>180</v>
      </c>
      <c r="B5" s="9">
        <f>SUMIFS(Features!$M$2:$M$72,Features!$B$2:$B$72,$A5,Features!$E$2:$E$72,B$1)</f>
        <v>0</v>
      </c>
      <c r="C5" s="9">
        <f>SUMIFS(Features!$M$2:$M$72,Features!$B$2:$B$72,$A5,Features!$E$2:$E$72,C$1)</f>
        <v>3</v>
      </c>
      <c r="D5" s="9">
        <f>SUMIFS(Features!$M$2:$M$72,Features!$B$2:$B$72,$A5,Features!$E$2:$E$72,D$1)</f>
        <v>12</v>
      </c>
      <c r="E5" s="9">
        <f>SUMIFS(Features!$M$2:$M$72,Features!$B$2:$B$72,$A5,Features!$E$2:$E$72,E$1)</f>
        <v>12</v>
      </c>
      <c r="F5" s="9">
        <f>SUMIFS(Features!$M$2:$M$72,Features!$B$2:$B$72,$A5,Features!$E$2:$E$72,F$1)</f>
        <v>0</v>
      </c>
      <c r="G5" s="9">
        <f>SUM(B5:F5)</f>
        <v>27</v>
      </c>
    </row>
    <row r="6" spans="1:7" x14ac:dyDescent="0.25">
      <c r="A6" s="9" t="s">
        <v>217</v>
      </c>
      <c r="B6" s="9">
        <f>SUMIFS(Features!$M$2:$M$72,Features!$B$2:$B$72,$A6,Features!$E$2:$E$72,B$1)</f>
        <v>0</v>
      </c>
      <c r="C6" s="9">
        <f>SUMIFS(Features!$M$2:$M$72,Features!$B$2:$B$72,$A6,Features!$E$2:$E$72,C$1)</f>
        <v>0</v>
      </c>
      <c r="D6" s="9">
        <f>SUMIFS(Features!$M$2:$M$72,Features!$B$2:$B$72,$A6,Features!$E$2:$E$72,D$1)</f>
        <v>8</v>
      </c>
      <c r="E6" s="9">
        <f>SUMIFS(Features!$M$2:$M$72,Features!$B$2:$B$72,$A6,Features!$E$2:$E$72,E$1)</f>
        <v>5</v>
      </c>
      <c r="F6" s="9">
        <f>SUMIFS(Features!$M$2:$M$72,Features!$B$2:$B$72,$A6,Features!$E$2:$E$72,F$1)</f>
        <v>0</v>
      </c>
      <c r="G6" s="9">
        <f>SUM(B6:F6)</f>
        <v>13</v>
      </c>
    </row>
    <row r="7" spans="1:7" x14ac:dyDescent="0.25">
      <c r="A7" s="9" t="s">
        <v>233</v>
      </c>
      <c r="B7" s="9">
        <f>SUMIFS(Features!$M$2:$M$72,Features!$B$2:$B$72,$A7,Features!$E$2:$E$72,B$1)</f>
        <v>0</v>
      </c>
      <c r="C7" s="9">
        <f>SUMIFS(Features!$M$2:$M$72,Features!$B$2:$B$72,$A7,Features!$E$2:$E$72,C$1)</f>
        <v>4</v>
      </c>
      <c r="D7" s="9">
        <f>SUMIFS(Features!$M$2:$M$72,Features!$B$2:$B$72,$A7,Features!$E$2:$E$72,D$1)</f>
        <v>2</v>
      </c>
      <c r="E7" s="9">
        <f>SUMIFS(Features!$M$2:$M$72,Features!$B$2:$B$72,$A7,Features!$E$2:$E$72,E$1)</f>
        <v>2</v>
      </c>
      <c r="F7" s="9">
        <f>SUMIFS(Features!$M$2:$M$72,Features!$B$2:$B$72,$A7,Features!$E$2:$E$72,F$1)</f>
        <v>0</v>
      </c>
      <c r="G7" s="9">
        <f>SUM(B7:F7)</f>
        <v>8</v>
      </c>
    </row>
    <row r="8" spans="1:7" x14ac:dyDescent="0.25">
      <c r="A8" s="9" t="s">
        <v>249</v>
      </c>
      <c r="B8" s="9">
        <f>SUMIFS(Features!$M$2:$M$72,Features!$B$2:$B$72,$A8,Features!$E$2:$E$72,B$1)</f>
        <v>0</v>
      </c>
      <c r="C8" s="9">
        <f>SUMIFS(Features!$M$2:$M$72,Features!$B$2:$B$72,$A8,Features!$E$2:$E$72,C$1)</f>
        <v>6</v>
      </c>
      <c r="D8" s="9">
        <f>SUMIFS(Features!$M$2:$M$72,Features!$B$2:$B$72,$A8,Features!$E$2:$E$72,D$1)</f>
        <v>14</v>
      </c>
      <c r="E8" s="9">
        <f>SUMIFS(Features!$M$2:$M$72,Features!$B$2:$B$72,$A8,Features!$E$2:$E$72,E$1)</f>
        <v>4</v>
      </c>
      <c r="F8" s="9">
        <f>SUMIFS(Features!$M$2:$M$72,Features!$B$2:$B$72,$A8,Features!$E$2:$E$72,F$1)</f>
        <v>0</v>
      </c>
      <c r="G8" s="9">
        <f>SUM(B8:F8)</f>
        <v>24</v>
      </c>
    </row>
    <row r="9" spans="1:7" x14ac:dyDescent="0.25">
      <c r="A9" s="9" t="s">
        <v>279</v>
      </c>
      <c r="B9" s="9">
        <f>SUMIFS(Features!$M$2:$M$72,Features!$B$2:$B$72,$A9,Features!$E$2:$E$72,B$1)</f>
        <v>0</v>
      </c>
      <c r="C9" s="9">
        <f>SUMIFS(Features!$M$2:$M$72,Features!$B$2:$B$72,$A9,Features!$E$2:$E$72,C$1)</f>
        <v>0</v>
      </c>
      <c r="D9" s="9">
        <f>SUMIFS(Features!$M$2:$M$72,Features!$B$2:$B$72,$A9,Features!$E$2:$E$72,D$1)</f>
        <v>16</v>
      </c>
      <c r="E9" s="9">
        <f>SUMIFS(Features!$M$2:$M$72,Features!$B$2:$B$72,$A9,Features!$E$2:$E$72,E$1)</f>
        <v>4</v>
      </c>
      <c r="F9" s="9">
        <f>SUMIFS(Features!$M$2:$M$72,Features!$B$2:$B$72,$A9,Features!$E$2:$E$72,F$1)</f>
        <v>0</v>
      </c>
      <c r="G9" s="9">
        <f>SUM(B9:F9)</f>
        <v>20</v>
      </c>
    </row>
    <row r="10" spans="1:7" x14ac:dyDescent="0.25">
      <c r="A10" s="9" t="s">
        <v>303</v>
      </c>
      <c r="B10" s="9">
        <f>SUMIFS(Features!$M$2:$M$72,Features!$B$2:$B$72,$A10,Features!$E$2:$E$72,B$1)</f>
        <v>2</v>
      </c>
      <c r="C10" s="9">
        <f>SUMIFS(Features!$M$2:$M$72,Features!$B$2:$B$72,$A10,Features!$E$2:$E$72,C$1)</f>
        <v>3</v>
      </c>
      <c r="D10" s="9">
        <f>SUMIFS(Features!$M$2:$M$72,Features!$B$2:$B$72,$A10,Features!$E$2:$E$72,D$1)</f>
        <v>0</v>
      </c>
      <c r="E10" s="9">
        <f>SUMIFS(Features!$M$2:$M$72,Features!$B$2:$B$72,$A10,Features!$E$2:$E$72,E$1)</f>
        <v>3</v>
      </c>
      <c r="F10" s="9">
        <f>SUMIFS(Features!$M$2:$M$72,Features!$B$2:$B$72,$A10,Features!$E$2:$E$72,F$1)</f>
        <v>3</v>
      </c>
      <c r="G10" s="9">
        <f>SUM(B10:F10)</f>
        <v>11</v>
      </c>
    </row>
    <row r="11" spans="1:7" x14ac:dyDescent="0.25">
      <c r="A11" s="9" t="s">
        <v>320</v>
      </c>
      <c r="B11" s="9">
        <f>SUMIFS(Features!$M$2:$M$72,Features!$B$2:$B$72,$A11,Features!$E$2:$E$72,B$1)</f>
        <v>1</v>
      </c>
      <c r="C11" s="9">
        <f>SUMIFS(Features!$M$2:$M$72,Features!$B$2:$B$72,$A11,Features!$E$2:$E$72,C$1)</f>
        <v>0</v>
      </c>
      <c r="D11" s="9">
        <f>SUMIFS(Features!$M$2:$M$72,Features!$B$2:$B$72,$A11,Features!$E$2:$E$72,D$1)</f>
        <v>0</v>
      </c>
      <c r="E11" s="9">
        <f>SUMIFS(Features!$M$2:$M$72,Features!$B$2:$B$72,$A11,Features!$E$2:$E$72,E$1)</f>
        <v>0</v>
      </c>
      <c r="F11" s="9">
        <f>SUMIFS(Features!$M$2:$M$72,Features!$B$2:$B$72,$A11,Features!$E$2:$E$72,F$1)</f>
        <v>8</v>
      </c>
      <c r="G11" s="9">
        <f>SUM(B11:F11)</f>
        <v>9</v>
      </c>
    </row>
    <row r="12" spans="1:7" x14ac:dyDescent="0.25">
      <c r="A12" s="55" t="s">
        <v>494</v>
      </c>
      <c r="B12" s="55">
        <f>SUM(B2:B11)</f>
        <v>13</v>
      </c>
      <c r="C12" s="55">
        <f>SUM(C2:C11)</f>
        <v>36</v>
      </c>
      <c r="D12" s="55">
        <f>SUM(D2:D11)</f>
        <v>67</v>
      </c>
      <c r="E12" s="55">
        <f>SUM(E2:E11)</f>
        <v>35</v>
      </c>
      <c r="F12" s="55">
        <f>SUM(F2:F11)</f>
        <v>18</v>
      </c>
      <c r="G12" s="55">
        <f>SUM(G2:G11)</f>
        <v>169</v>
      </c>
    </row>
    <row r="14" spans="1:1" x14ac:dyDescent="0.25">
      <c r="A14" s="52" t="s">
        <v>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62" customWidth="1"/>
    <col min="3" max="3" width="80" customWidth="1"/>
    <col min="4" max="4" width="14" customWidth="1"/>
  </cols>
  <sheetData>
    <row r="1" spans="1:4" x14ac:dyDescent="0.25">
      <c r="A1" s="8" t="s">
        <v>496</v>
      </c>
      <c r="B1" s="8" t="s">
        <v>497</v>
      </c>
      <c r="C1" s="8" t="s">
        <v>498</v>
      </c>
      <c r="D1" s="8" t="s">
        <v>499</v>
      </c>
    </row>
    <row r="2" spans="1:4" x14ac:dyDescent="0.25">
      <c r="A2" s="13" t="s">
        <v>500</v>
      </c>
      <c r="B2" s="13" t="s">
        <v>88</v>
      </c>
      <c r="C2" s="13" t="s">
        <v>501</v>
      </c>
      <c r="D2" s="13" t="s">
        <v>93</v>
      </c>
    </row>
    <row r="3" spans="1:4" x14ac:dyDescent="0.25">
      <c r="A3" s="13" t="s">
        <v>502</v>
      </c>
      <c r="B3" s="13" t="s">
        <v>114</v>
      </c>
      <c r="C3" s="13" t="s">
        <v>503</v>
      </c>
      <c r="D3" s="13" t="s">
        <v>504</v>
      </c>
    </row>
    <row r="4" spans="1:4" x14ac:dyDescent="0.25">
      <c r="A4" s="13" t="s">
        <v>505</v>
      </c>
      <c r="B4" s="13" t="s">
        <v>114</v>
      </c>
      <c r="C4" s="13" t="s">
        <v>506</v>
      </c>
      <c r="D4" s="13" t="s">
        <v>142</v>
      </c>
    </row>
    <row r="5" spans="1:4" x14ac:dyDescent="0.25">
      <c r="A5" s="13" t="s">
        <v>507</v>
      </c>
      <c r="B5" s="13" t="s">
        <v>88</v>
      </c>
      <c r="C5" s="13" t="s">
        <v>508</v>
      </c>
      <c r="D5" s="13" t="s">
        <v>278</v>
      </c>
    </row>
    <row r="6" spans="1:4" x14ac:dyDescent="0.25">
      <c r="A6" s="13" t="s">
        <v>509</v>
      </c>
      <c r="B6" s="13" t="s">
        <v>88</v>
      </c>
      <c r="C6" s="13" t="s">
        <v>510</v>
      </c>
      <c r="D6" s="13" t="s">
        <v>252</v>
      </c>
    </row>
    <row r="7" spans="1:4" x14ac:dyDescent="0.25">
      <c r="A7" s="13" t="s">
        <v>511</v>
      </c>
      <c r="B7" s="13" t="s">
        <v>88</v>
      </c>
      <c r="C7" s="13" t="s">
        <v>512</v>
      </c>
      <c r="D7" s="13" t="s">
        <v>513</v>
      </c>
    </row>
    <row r="8" spans="1:4" x14ac:dyDescent="0.25">
      <c r="A8" s="13" t="s">
        <v>514</v>
      </c>
      <c r="B8" s="13" t="s">
        <v>88</v>
      </c>
      <c r="C8" s="13" t="s">
        <v>515</v>
      </c>
      <c r="D8" s="13" t="s">
        <v>516</v>
      </c>
    </row>
    <row r="9" spans="1:4" x14ac:dyDescent="0.25">
      <c r="A9" s="13" t="s">
        <v>517</v>
      </c>
      <c r="B9" s="13" t="s">
        <v>114</v>
      </c>
      <c r="C9" s="13" t="s">
        <v>518</v>
      </c>
      <c r="D9" s="13" t="s">
        <v>111</v>
      </c>
    </row>
    <row r="10" spans="1:4" x14ac:dyDescent="0.25">
      <c r="A10" s="13" t="s">
        <v>519</v>
      </c>
      <c r="B10" s="13" t="s">
        <v>88</v>
      </c>
      <c r="C10" s="13" t="s">
        <v>520</v>
      </c>
      <c r="D10" s="13" t="s">
        <v>423</v>
      </c>
    </row>
    <row r="13" spans="1:1" x14ac:dyDescent="0.25">
      <c r="A13" s="53" t="s">
        <v>521</v>
      </c>
    </row>
    <row r="14" spans="1:3" x14ac:dyDescent="0.25">
      <c r="A14" s="9" t="s">
        <v>522</v>
      </c>
      <c r="B14" s="9"/>
      <c r="C14" s="9"/>
    </row>
    <row r="15" spans="1:3" x14ac:dyDescent="0.25">
      <c r="A15" s="9" t="s">
        <v>523</v>
      </c>
      <c r="B15" s="9"/>
      <c r="C15" s="9"/>
    </row>
    <row r="16" spans="1:3" x14ac:dyDescent="0.25">
      <c r="A16" s="9" t="s">
        <v>524</v>
      </c>
      <c r="B16" s="9"/>
      <c r="C16" s="9"/>
    </row>
    <row r="17" spans="1:3" x14ac:dyDescent="0.25">
      <c r="A17" s="9" t="s">
        <v>525</v>
      </c>
      <c r="B17" s="9"/>
      <c r="C17" s="9"/>
    </row>
    <row r="18" spans="1:3" x14ac:dyDescent="0.25">
      <c r="A18" s="9" t="s">
        <v>526</v>
      </c>
      <c r="B18" s="9"/>
      <c r="C18" s="9"/>
    </row>
    <row r="19" spans="1:3" x14ac:dyDescent="0.25">
      <c r="A19" s="9" t="s">
        <v>527</v>
      </c>
      <c r="B19" s="9"/>
      <c r="C19" s="9"/>
    </row>
  </sheetData>
  <mergeCells count="6">
    <mergeCell ref="A14:C14"/>
    <mergeCell ref="A15:C15"/>
    <mergeCell ref="A16:C16"/>
    <mergeCell ref="A17:C17"/>
    <mergeCell ref="A18:C18"/>
    <mergeCell ref="A19:C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Milestones</vt:lpstr>
      <vt:lpstr>Features</vt:lpstr>
      <vt:lpstr>Weekly Timeline</vt:lpstr>
      <vt:lpstr>Release Plan</vt:lpstr>
      <vt:lpstr>Integration</vt:lpstr>
      <vt:lpstr>Azure Deployment</vt:lpstr>
      <vt:lpstr>Effort by Workstream</vt:lpstr>
      <vt:lpstr>Risks &amp; 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DarkHorse</dc:creator>
  <dc:title/>
  <dc:subject/>
  <dc:description/>
  <cp:keywords/>
  <cp:category/>
  <cp:lastModifiedBy>Unknown</cp:lastModifiedBy>
  <dcterms:created xsi:type="dcterms:W3CDTF">2026-10-24T04:13:38Z</dcterms:created>
  <dcterms:modified xsi:type="dcterms:W3CDTF">2026-10-24T04:13:38Z</dcterms:modified>
</cp:coreProperties>
</file>